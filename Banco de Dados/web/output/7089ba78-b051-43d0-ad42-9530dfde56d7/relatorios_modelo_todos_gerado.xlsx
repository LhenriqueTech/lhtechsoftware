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NE" sheetId="1" state="visible" r:id="rId1"/>
    <sheet name="ARIANA" sheetId="2" state="visible" r:id="rId2"/>
    <sheet name="ARIANE" sheetId="3" state="visible" r:id="rId3"/>
    <sheet name="barbara" sheetId="4" state="visible" r:id="rId4"/>
    <sheet name="BEATRIZ" sheetId="5" state="visible" r:id="rId5"/>
    <sheet name="beatriz1" sheetId="6" state="visible" r:id="rId6"/>
    <sheet name="BRUNA" sheetId="7" state="visible" r:id="rId7"/>
    <sheet name="CELESTINA" sheetId="8" state="visible" r:id="rId8"/>
    <sheet name="conceicao" sheetId="9" state="visible" r:id="rId9"/>
    <sheet name="conceicao1" sheetId="10" state="visible" r:id="rId10"/>
    <sheet name="Daiana Silva" sheetId="11" state="visible" r:id="rId11"/>
    <sheet name="Dani robotica" sheetId="12" state="visible" r:id="rId12"/>
    <sheet name="Daniel" sheetId="13" state="visible" r:id="rId13"/>
    <sheet name="Dilma" sheetId="14" state="visible" r:id="rId14"/>
    <sheet name="emilly" sheetId="15" state="visible" r:id="rId15"/>
    <sheet name="Gabriela" sheetId="16" state="visible" r:id="rId16"/>
    <sheet name="Gabrielly Jazz" sheetId="17" state="visible" r:id="rId17"/>
    <sheet name="GERLANDIA" sheetId="18" state="visible" r:id="rId18"/>
    <sheet name="Giovana" sheetId="19" state="visible" r:id="rId19"/>
    <sheet name="GUILHERME" sheetId="20" state="visible" r:id="rId20"/>
    <sheet name="Hilda" sheetId="21" state="visible" r:id="rId21"/>
    <sheet name="Ingrid Rocha" sheetId="22" state="visible" r:id="rId22"/>
    <sheet name="ISADORA" sheetId="23" state="visible" r:id="rId23"/>
    <sheet name="ISAQUE" sheetId="24" state="visible" r:id="rId24"/>
    <sheet name="Joyce S" sheetId="25" state="visible" r:id="rId25"/>
    <sheet name="Juliane" sheetId="26" state="visible" r:id="rId26"/>
    <sheet name="Kaiene" sheetId="27" state="visible" r:id="rId27"/>
    <sheet name="Kamilla Duarte" sheetId="28" state="visible" r:id="rId28"/>
    <sheet name="Kayo Ribeiro" sheetId="29" state="visible" r:id="rId29"/>
    <sheet name="LETICIA" sheetId="30" state="visible" r:id="rId30"/>
    <sheet name="LETICIA1" sheetId="31" state="visible" r:id="rId31"/>
    <sheet name="MARIANE" sheetId="32" state="visible" r:id="rId32"/>
    <sheet name="monica" sheetId="33" state="visible" r:id="rId33"/>
    <sheet name="patricia" sheetId="34" state="visible" r:id="rId34"/>
    <sheet name="Paula Alves" sheetId="35" state="visible" r:id="rId35"/>
    <sheet name="PRISCILA" sheetId="36" state="visible" r:id="rId36"/>
    <sheet name="Rodrigo" sheetId="37" state="visible" r:id="rId37"/>
    <sheet name="Stephany" sheetId="38" state="visible" r:id="rId38"/>
    <sheet name="TAMIRES" sheetId="39" state="visible" r:id="rId39"/>
    <sheet name="viviane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9F6FD"/>
      </patternFill>
    </fill>
    <fill>
      <patternFill patternType="solid">
        <fgColor rgb="00DDF2FF"/>
      </patternFill>
    </fill>
    <fill>
      <patternFill patternType="solid">
        <fgColor rgb="00EAF2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6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6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6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46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ALINE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07:34</t>
        </is>
      </c>
      <c r="E6" s="9" t="inlineStr"/>
      <c r="F6" s="9" t="inlineStr"/>
      <c r="G6" s="9" t="inlineStr">
        <is>
          <t>16:51</t>
        </is>
      </c>
      <c r="H6" s="10">
        <f>(G6-D6)-(F6-E6)</f>
        <v/>
      </c>
      <c r="I6" s="10" t="n">
        <v>0.3333333333333333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07:42</t>
        </is>
      </c>
      <c r="E7" s="9" t="inlineStr"/>
      <c r="F7" s="9" t="inlineStr"/>
      <c r="G7" s="9" t="inlineStr">
        <is>
          <t>15:35</t>
        </is>
      </c>
      <c r="H7" s="10">
        <f>(G7-D7)-(F7-E7)</f>
        <v/>
      </c>
      <c r="I7" s="10" t="n">
        <v>0.3333333333333333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07:41</t>
        </is>
      </c>
      <c r="E8" s="9" t="inlineStr"/>
      <c r="F8" s="9" t="inlineStr"/>
      <c r="G8" s="9" t="inlineStr">
        <is>
          <t>15:41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07:47</t>
        </is>
      </c>
      <c r="E9" s="9" t="inlineStr"/>
      <c r="F9" s="9" t="inlineStr"/>
      <c r="G9" s="9" t="inlineStr">
        <is>
          <t>12:46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07:33</t>
        </is>
      </c>
      <c r="E14" s="9" t="inlineStr"/>
      <c r="F14" s="9" t="inlineStr"/>
      <c r="G14" s="9" t="inlineStr">
        <is>
          <t>16:31</t>
        </is>
      </c>
      <c r="H14" s="10">
        <f>(G14-D14)-(F14-E14)</f>
        <v/>
      </c>
      <c r="I14" s="10" t="n">
        <v>0.3333333333333333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07:44</t>
        </is>
      </c>
      <c r="E15" s="9" t="inlineStr"/>
      <c r="F15" s="9" t="inlineStr"/>
      <c r="G15" s="9" t="inlineStr">
        <is>
          <t>15:34</t>
        </is>
      </c>
      <c r="H15" s="10">
        <f>(G15-D15)-(F15-E15)</f>
        <v/>
      </c>
      <c r="I15" s="10" t="n">
        <v>0.3333333333333333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07:33</t>
        </is>
      </c>
      <c r="E16" s="9" t="inlineStr"/>
      <c r="F16" s="9" t="inlineStr"/>
      <c r="G16" s="9" t="inlineStr">
        <is>
          <t>15:45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07:35</t>
        </is>
      </c>
      <c r="E17" s="9" t="inlineStr"/>
      <c r="F17" s="9" t="inlineStr"/>
      <c r="G17" s="9" t="inlineStr">
        <is>
          <t>12:26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0.3333333333333333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0.3333333333333333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0.3333333333333333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0.3333333333333333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0.3333333333333333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0.3333333333333333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ALINE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384.220.068-47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ARIANA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07:17</t>
        </is>
      </c>
      <c r="E6" s="9" t="inlineStr">
        <is>
          <t>12:22</t>
        </is>
      </c>
      <c r="F6" s="9" t="inlineStr">
        <is>
          <t>13:15</t>
        </is>
      </c>
      <c r="G6" s="9" t="inlineStr">
        <is>
          <t>17:51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07:26</t>
        </is>
      </c>
      <c r="E7" s="9" t="inlineStr">
        <is>
          <t>12:16</t>
        </is>
      </c>
      <c r="F7" s="9" t="inlineStr">
        <is>
          <t>13:04</t>
        </is>
      </c>
      <c r="G7" s="9" t="inlineStr">
        <is>
          <t>17:54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07:21</t>
        </is>
      </c>
      <c r="E8" s="9" t="inlineStr">
        <is>
          <t>07:26</t>
        </is>
      </c>
      <c r="F8" s="9" t="inlineStr">
        <is>
          <t>12:25</t>
        </is>
      </c>
      <c r="G8" s="9" t="inlineStr">
        <is>
          <t>13:16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07:21</t>
        </is>
      </c>
      <c r="E9" s="9" t="inlineStr">
        <is>
          <t>12:21</t>
        </is>
      </c>
      <c r="F9" s="9" t="inlineStr">
        <is>
          <t>13:04</t>
        </is>
      </c>
      <c r="G9" s="9" t="inlineStr">
        <is>
          <t>17:50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07:17</t>
        </is>
      </c>
      <c r="E10" s="9" t="inlineStr">
        <is>
          <t>12:22</t>
        </is>
      </c>
      <c r="F10" s="9" t="inlineStr">
        <is>
          <t>13:03</t>
        </is>
      </c>
      <c r="G10" s="9" t="inlineStr">
        <is>
          <t>17:53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07:22</t>
        </is>
      </c>
      <c r="E14" s="9" t="inlineStr">
        <is>
          <t>12:17</t>
        </is>
      </c>
      <c r="F14" s="9" t="inlineStr">
        <is>
          <t>13:00</t>
        </is>
      </c>
      <c r="G14" s="9" t="inlineStr">
        <is>
          <t>17:53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07:15</t>
        </is>
      </c>
      <c r="E15" s="9" t="inlineStr">
        <is>
          <t>12:05</t>
        </is>
      </c>
      <c r="F15" s="9" t="inlineStr">
        <is>
          <t>13:18</t>
        </is>
      </c>
      <c r="G15" s="9" t="inlineStr">
        <is>
          <t>17:54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07:18</t>
        </is>
      </c>
      <c r="E16" s="9" t="inlineStr">
        <is>
          <t>12:24</t>
        </is>
      </c>
      <c r="F16" s="9" t="inlineStr">
        <is>
          <t>13:12</t>
        </is>
      </c>
      <c r="G16" s="9" t="inlineStr">
        <is>
          <t>17:51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07:11</t>
        </is>
      </c>
      <c r="E17" s="9" t="inlineStr">
        <is>
          <t>12:15</t>
        </is>
      </c>
      <c r="F17" s="9" t="inlineStr">
        <is>
          <t>13:02</t>
        </is>
      </c>
      <c r="G17" s="9" t="inlineStr">
        <is>
          <t>17:50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07:27</t>
        </is>
      </c>
      <c r="E18" s="9" t="inlineStr">
        <is>
          <t>12:25</t>
        </is>
      </c>
      <c r="F18" s="9" t="inlineStr">
        <is>
          <t>13:06</t>
        </is>
      </c>
      <c r="G18" s="9" t="inlineStr">
        <is>
          <t>17:53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ARIANA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340.305.828.00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ARIANE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07:20</t>
        </is>
      </c>
      <c r="E6" s="9" t="inlineStr"/>
      <c r="F6" s="9" t="inlineStr"/>
      <c r="G6" s="9" t="inlineStr">
        <is>
          <t>12:27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07:26</t>
        </is>
      </c>
      <c r="E7" s="9" t="inlineStr"/>
      <c r="F7" s="9" t="inlineStr"/>
      <c r="G7" s="9" t="inlineStr">
        <is>
          <t>12:31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07:26</t>
        </is>
      </c>
      <c r="E8" s="9" t="inlineStr"/>
      <c r="F8" s="9" t="inlineStr"/>
      <c r="G8" s="9" t="inlineStr">
        <is>
          <t>12:23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07:27</t>
        </is>
      </c>
      <c r="E9" s="9" t="inlineStr"/>
      <c r="F9" s="9" t="inlineStr"/>
      <c r="G9" s="9" t="inlineStr">
        <is>
          <t>12:31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07:31</t>
        </is>
      </c>
      <c r="E10" s="9" t="inlineStr"/>
      <c r="F10" s="9" t="inlineStr"/>
      <c r="G10" s="9" t="inlineStr">
        <is>
          <t>12:31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07:22</t>
        </is>
      </c>
      <c r="E14" s="9" t="inlineStr"/>
      <c r="F14" s="9" t="inlineStr"/>
      <c r="G14" s="9" t="inlineStr">
        <is>
          <t>12:29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07:34</t>
        </is>
      </c>
      <c r="E15" s="9" t="inlineStr"/>
      <c r="F15" s="9" t="inlineStr"/>
      <c r="G15" s="9" t="inlineStr">
        <is>
          <t>12:32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07:32</t>
        </is>
      </c>
      <c r="E16" s="9" t="inlineStr"/>
      <c r="F16" s="9" t="inlineStr"/>
      <c r="G16" s="9" t="inlineStr">
        <is>
          <t>12:24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07:31</t>
        </is>
      </c>
      <c r="E17" s="9" t="inlineStr"/>
      <c r="F17" s="9" t="inlineStr"/>
      <c r="G17" s="9" t="inlineStr">
        <is>
          <t>12:31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07:21</t>
        </is>
      </c>
      <c r="E18" s="9" t="inlineStr"/>
      <c r="F18" s="9" t="inlineStr"/>
      <c r="G18" s="9" t="inlineStr">
        <is>
          <t>12:35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ARIANE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412.790.448-88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barbara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0.1666666666666667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07:17</t>
        </is>
      </c>
      <c r="E7" s="9" t="inlineStr"/>
      <c r="F7" s="9" t="inlineStr"/>
      <c r="G7" s="9" t="inlineStr">
        <is>
          <t>11:37</t>
        </is>
      </c>
      <c r="H7" s="10">
        <f>(G7-D7)-(F7-E7)</f>
        <v/>
      </c>
      <c r="I7" s="10" t="n">
        <v>0.1666666666666667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0.1666666666666667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07:20</t>
        </is>
      </c>
      <c r="E9" s="9" t="inlineStr"/>
      <c r="F9" s="9" t="inlineStr"/>
      <c r="G9" s="9" t="inlineStr">
        <is>
          <t>09:45</t>
        </is>
      </c>
      <c r="H9" s="10">
        <f>(G9-D9)-(F9-E9)</f>
        <v/>
      </c>
      <c r="I9" s="10" t="n">
        <v>0.1666666666666667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0.1666666666666667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0.1666666666666667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07:23</t>
        </is>
      </c>
      <c r="E15" s="9" t="inlineStr"/>
      <c r="F15" s="9" t="inlineStr"/>
      <c r="G15" s="9" t="inlineStr">
        <is>
          <t>11:36</t>
        </is>
      </c>
      <c r="H15" s="10">
        <f>(G15-D15)-(F15-E15)</f>
        <v/>
      </c>
      <c r="I15" s="10" t="n">
        <v>0.1666666666666667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0.1666666666666667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07:27</t>
        </is>
      </c>
      <c r="E17" s="9" t="inlineStr"/>
      <c r="F17" s="9" t="inlineStr"/>
      <c r="G17" s="9" t="inlineStr">
        <is>
          <t>09:46</t>
        </is>
      </c>
      <c r="H17" s="10">
        <f>(G17-D17)-(F17-E17)</f>
        <v/>
      </c>
      <c r="I17" s="10" t="n">
        <v>0.1666666666666667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0.1666666666666667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0.1666666666666667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0.1666666666666667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0.1666666666666667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0.1666666666666667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0.1666666666666667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0.1666666666666667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0.1666666666666667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0.1666666666666667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0.1666666666666667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0.1666666666666667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0.1666666666666667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0.1666666666666667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BARBARA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446.285.768-23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BEATRIZ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BEATRIZ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473.112.208-23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beatriz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06:48</t>
        </is>
      </c>
      <c r="E6" s="9" t="inlineStr"/>
      <c r="F6" s="9" t="inlineStr"/>
      <c r="G6" s="9" t="inlineStr">
        <is>
          <t>12:22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06:41</t>
        </is>
      </c>
      <c r="E7" s="9" t="inlineStr"/>
      <c r="F7" s="9" t="inlineStr"/>
      <c r="G7" s="9" t="inlineStr">
        <is>
          <t>11:36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08:23</t>
        </is>
      </c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06:37</t>
        </is>
      </c>
      <c r="E14" s="9" t="inlineStr"/>
      <c r="F14" s="9" t="inlineStr"/>
      <c r="G14" s="9" t="inlineStr">
        <is>
          <t>12:20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07:04</t>
        </is>
      </c>
      <c r="E15" s="9" t="inlineStr"/>
      <c r="F15" s="9" t="inlineStr"/>
      <c r="G15" s="9" t="inlineStr">
        <is>
          <t>11:37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08:34</t>
        </is>
      </c>
      <c r="E16" s="9" t="inlineStr"/>
      <c r="F16" s="9" t="inlineStr"/>
      <c r="G16" s="9" t="inlineStr">
        <is>
          <t>12:18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BEATRIZ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473.112.208-23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BRUNA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07:35</t>
        </is>
      </c>
      <c r="E6" s="9" t="inlineStr"/>
      <c r="F6" s="9" t="inlineStr"/>
      <c r="G6" s="9" t="inlineStr">
        <is>
          <t>12:04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07:34</t>
        </is>
      </c>
      <c r="E7" s="9" t="inlineStr"/>
      <c r="F7" s="9" t="inlineStr"/>
      <c r="G7" s="9" t="inlineStr">
        <is>
          <t>12:31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07:24</t>
        </is>
      </c>
      <c r="E8" s="9" t="inlineStr"/>
      <c r="F8" s="9" t="inlineStr"/>
      <c r="G8" s="9" t="inlineStr">
        <is>
          <t>12:26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07:24</t>
        </is>
      </c>
      <c r="E9" s="9" t="inlineStr"/>
      <c r="F9" s="9" t="inlineStr"/>
      <c r="G9" s="9" t="inlineStr">
        <is>
          <t>12:30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07:30</t>
        </is>
      </c>
      <c r="E10" s="9" t="inlineStr"/>
      <c r="F10" s="9" t="inlineStr"/>
      <c r="G10" s="9" t="inlineStr">
        <is>
          <t>12:30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12:29</t>
        </is>
      </c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07:29</t>
        </is>
      </c>
      <c r="E15" s="9" t="inlineStr"/>
      <c r="F15" s="9" t="inlineStr"/>
      <c r="G15" s="9" t="inlineStr">
        <is>
          <t>12:31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07:30</t>
        </is>
      </c>
      <c r="E16" s="9" t="inlineStr"/>
      <c r="F16" s="9" t="inlineStr"/>
      <c r="G16" s="9" t="inlineStr">
        <is>
          <t>12:31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12:31</t>
        </is>
      </c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12:37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BRUNA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389.180.268-46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CELESTINA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CELESTINA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284.364.338-40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conceicao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CONCEICAO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621.646.601-10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conceicao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07:27</t>
        </is>
      </c>
      <c r="E6" s="9" t="inlineStr"/>
      <c r="F6" s="9" t="inlineStr"/>
      <c r="G6" s="9" t="inlineStr">
        <is>
          <t>12:20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08:16</t>
        </is>
      </c>
      <c r="E7" s="9" t="inlineStr"/>
      <c r="F7" s="9" t="inlineStr"/>
      <c r="G7" s="9" t="inlineStr">
        <is>
          <t>12:23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07:25</t>
        </is>
      </c>
      <c r="E8" s="9" t="inlineStr"/>
      <c r="F8" s="9" t="inlineStr"/>
      <c r="G8" s="9" t="inlineStr">
        <is>
          <t>10:11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07:26</t>
        </is>
      </c>
      <c r="E9" s="9" t="inlineStr"/>
      <c r="F9" s="9" t="inlineStr"/>
      <c r="G9" s="9" t="inlineStr">
        <is>
          <t>11:51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07:29</t>
        </is>
      </c>
      <c r="E10" s="9" t="inlineStr"/>
      <c r="F10" s="9" t="inlineStr"/>
      <c r="G10" s="9" t="inlineStr">
        <is>
          <t>12:21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07:29</t>
        </is>
      </c>
      <c r="E14" s="9" t="inlineStr"/>
      <c r="F14" s="9" t="inlineStr"/>
      <c r="G14" s="9" t="inlineStr">
        <is>
          <t>12:21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08:14</t>
        </is>
      </c>
      <c r="E15" s="9" t="inlineStr"/>
      <c r="F15" s="9" t="inlineStr"/>
      <c r="G15" s="9" t="inlineStr">
        <is>
          <t>12:22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07:30</t>
        </is>
      </c>
      <c r="E16" s="9" t="inlineStr"/>
      <c r="F16" s="9" t="inlineStr"/>
      <c r="G16" s="9" t="inlineStr">
        <is>
          <t>09:57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07:30</t>
        </is>
      </c>
      <c r="E17" s="9" t="inlineStr"/>
      <c r="F17" s="9" t="inlineStr"/>
      <c r="G17" s="9" t="inlineStr">
        <is>
          <t>11:46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07:25</t>
        </is>
      </c>
      <c r="E18" s="9" t="inlineStr"/>
      <c r="F18" s="9" t="inlineStr"/>
      <c r="G18" s="9" t="inlineStr">
        <is>
          <t>12:21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CONCEICAO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621.646.601-10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Daiana Silva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07:19</t>
        </is>
      </c>
      <c r="E6" s="9" t="inlineStr"/>
      <c r="F6" s="9" t="inlineStr"/>
      <c r="G6" s="9" t="inlineStr">
        <is>
          <t>12:24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07:19</t>
        </is>
      </c>
      <c r="E7" s="9" t="inlineStr"/>
      <c r="F7" s="9" t="inlineStr"/>
      <c r="G7" s="9" t="inlineStr">
        <is>
          <t>12:28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07:15</t>
        </is>
      </c>
      <c r="E8" s="9" t="inlineStr"/>
      <c r="F8" s="9" t="inlineStr"/>
      <c r="G8" s="9" t="inlineStr">
        <is>
          <t>12:23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07:14</t>
        </is>
      </c>
      <c r="E9" s="9" t="inlineStr"/>
      <c r="F9" s="9" t="inlineStr"/>
      <c r="G9" s="9" t="inlineStr">
        <is>
          <t>12:25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07:15</t>
        </is>
      </c>
      <c r="E10" s="9" t="inlineStr"/>
      <c r="F10" s="9" t="inlineStr"/>
      <c r="G10" s="9" t="inlineStr">
        <is>
          <t>12:30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07:19</t>
        </is>
      </c>
      <c r="E14" s="9" t="inlineStr"/>
      <c r="F14" s="9" t="inlineStr"/>
      <c r="G14" s="9" t="inlineStr">
        <is>
          <t>12:27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07:30</t>
        </is>
      </c>
      <c r="E15" s="9" t="inlineStr"/>
      <c r="F15" s="9" t="inlineStr"/>
      <c r="G15" s="9" t="inlineStr">
        <is>
          <t>12:26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07:58</t>
        </is>
      </c>
      <c r="E16" s="9" t="inlineStr"/>
      <c r="F16" s="9" t="inlineStr"/>
      <c r="G16" s="9" t="inlineStr">
        <is>
          <t>12:26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07:24</t>
        </is>
      </c>
      <c r="E17" s="9" t="inlineStr"/>
      <c r="F17" s="9" t="inlineStr"/>
      <c r="G17" s="9" t="inlineStr">
        <is>
          <t>12:27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07:21</t>
        </is>
      </c>
      <c r="E18" s="9" t="inlineStr"/>
      <c r="F18" s="9" t="inlineStr"/>
      <c r="G18" s="9" t="inlineStr">
        <is>
          <t>12:26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DAIANA SILVA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Dani robotica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07:42</t>
        </is>
      </c>
      <c r="E7" s="9" t="inlineStr"/>
      <c r="F7" s="9" t="inlineStr"/>
      <c r="G7" s="9" t="inlineStr">
        <is>
          <t>15:34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07:44</t>
        </is>
      </c>
      <c r="E15" s="9" t="inlineStr"/>
      <c r="F15" s="9" t="inlineStr"/>
      <c r="G15" s="9" t="inlineStr">
        <is>
          <t>15:32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DANI ROBOTICA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Daniel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09:25</t>
        </is>
      </c>
      <c r="E10" s="9" t="inlineStr"/>
      <c r="F10" s="9" t="inlineStr"/>
      <c r="G10" s="9" t="inlineStr">
        <is>
          <t>12:30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08:59</t>
        </is>
      </c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DANIEL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Dilma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06:41</t>
        </is>
      </c>
      <c r="E6" s="9" t="inlineStr">
        <is>
          <t>11:17</t>
        </is>
      </c>
      <c r="F6" s="9" t="inlineStr">
        <is>
          <t>11:46</t>
        </is>
      </c>
      <c r="G6" s="9" t="inlineStr">
        <is>
          <t>18:11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06:41</t>
        </is>
      </c>
      <c r="E7" s="9" t="inlineStr">
        <is>
          <t>11:10</t>
        </is>
      </c>
      <c r="F7" s="9" t="inlineStr">
        <is>
          <t>11:52</t>
        </is>
      </c>
      <c r="G7" s="9" t="inlineStr">
        <is>
          <t>18:00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06:54</t>
        </is>
      </c>
      <c r="E8" s="9" t="inlineStr">
        <is>
          <t>11:09</t>
        </is>
      </c>
      <c r="F8" s="9" t="inlineStr">
        <is>
          <t>11:56</t>
        </is>
      </c>
      <c r="G8" s="9" t="inlineStr">
        <is>
          <t>17:08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06:47</t>
        </is>
      </c>
      <c r="E14" s="9" t="inlineStr">
        <is>
          <t>11:08</t>
        </is>
      </c>
      <c r="F14" s="9" t="inlineStr">
        <is>
          <t>11:50</t>
        </is>
      </c>
      <c r="G14" s="9" t="inlineStr">
        <is>
          <t>18:07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06:58</t>
        </is>
      </c>
      <c r="E15" s="9" t="inlineStr">
        <is>
          <t>10:59</t>
        </is>
      </c>
      <c r="F15" s="9" t="inlineStr">
        <is>
          <t>11:51</t>
        </is>
      </c>
      <c r="G15" s="9" t="inlineStr">
        <is>
          <t>17:00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06:42</t>
        </is>
      </c>
      <c r="E18" s="9" t="inlineStr">
        <is>
          <t>11:04</t>
        </is>
      </c>
      <c r="F18" s="9" t="inlineStr">
        <is>
          <t>11:56</t>
        </is>
      </c>
      <c r="G18" s="9" t="inlineStr">
        <is>
          <t>17:02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DILMA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296.882.348-50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emilly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06:56</t>
        </is>
      </c>
      <c r="E6" s="9" t="inlineStr">
        <is>
          <t>11:02</t>
        </is>
      </c>
      <c r="F6" s="9" t="inlineStr">
        <is>
          <t>12:01</t>
        </is>
      </c>
      <c r="G6" s="9" t="inlineStr">
        <is>
          <t>16:50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07:03</t>
        </is>
      </c>
      <c r="E7" s="9" t="inlineStr">
        <is>
          <t>11:05</t>
        </is>
      </c>
      <c r="F7" s="9" t="inlineStr">
        <is>
          <t>12:09</t>
        </is>
      </c>
      <c r="G7" s="9" t="inlineStr">
        <is>
          <t>16:49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07:07</t>
        </is>
      </c>
      <c r="E8" s="9" t="inlineStr">
        <is>
          <t>11:01</t>
        </is>
      </c>
      <c r="F8" s="9" t="inlineStr">
        <is>
          <t>12:02</t>
        </is>
      </c>
      <c r="G8" s="9" t="inlineStr">
        <is>
          <t>16:51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07:08</t>
        </is>
      </c>
      <c r="E10" s="9" t="inlineStr">
        <is>
          <t>10:53</t>
        </is>
      </c>
      <c r="F10" s="9" t="inlineStr">
        <is>
          <t>11:54</t>
        </is>
      </c>
      <c r="G10" s="9" t="inlineStr">
        <is>
          <t>16:52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07:18</t>
        </is>
      </c>
      <c r="E14" s="9" t="inlineStr">
        <is>
          <t>10:54</t>
        </is>
      </c>
      <c r="F14" s="9" t="inlineStr">
        <is>
          <t>12:00</t>
        </is>
      </c>
      <c r="G14" s="9" t="inlineStr">
        <is>
          <t>17:04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07:09</t>
        </is>
      </c>
      <c r="E15" s="9" t="inlineStr">
        <is>
          <t>10:55</t>
        </is>
      </c>
      <c r="F15" s="9" t="inlineStr">
        <is>
          <t>11:58</t>
        </is>
      </c>
      <c r="G15" s="9" t="inlineStr">
        <is>
          <t>16:48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07:08</t>
        </is>
      </c>
      <c r="E16" s="9" t="inlineStr">
        <is>
          <t>10:50</t>
        </is>
      </c>
      <c r="F16" s="9" t="inlineStr">
        <is>
          <t>11:53</t>
        </is>
      </c>
      <c r="G16" s="9" t="inlineStr">
        <is>
          <t>16:50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EMILLY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554.291.848-45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Gabriela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08:03</t>
        </is>
      </c>
      <c r="E9" s="9" t="inlineStr"/>
      <c r="F9" s="9" t="inlineStr"/>
      <c r="G9" s="9" t="inlineStr">
        <is>
          <t>14:26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GABRIELA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Gabrielly Jazz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10:10</t>
        </is>
      </c>
      <c r="E6" s="9" t="inlineStr"/>
      <c r="F6" s="9" t="inlineStr"/>
      <c r="G6" s="9" t="inlineStr">
        <is>
          <t>12:04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12:40</t>
        </is>
      </c>
      <c r="E8" s="9" t="inlineStr"/>
      <c r="F8" s="9" t="inlineStr"/>
      <c r="G8" s="9" t="inlineStr">
        <is>
          <t>16:34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10:19</t>
        </is>
      </c>
      <c r="E14" s="9" t="inlineStr"/>
      <c r="F14" s="9" t="inlineStr"/>
      <c r="G14" s="9" t="inlineStr">
        <is>
          <t>11:29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12:33</t>
        </is>
      </c>
      <c r="E16" s="9" t="inlineStr"/>
      <c r="F16" s="9" t="inlineStr"/>
      <c r="G16" s="9" t="inlineStr">
        <is>
          <t>16:36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GABRIELLY JAZZ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GERLANDIA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07:30</t>
        </is>
      </c>
      <c r="E6" s="9" t="inlineStr"/>
      <c r="F6" s="9" t="inlineStr"/>
      <c r="G6" s="9" t="inlineStr">
        <is>
          <t>12:24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07:14</t>
        </is>
      </c>
      <c r="E7" s="9" t="inlineStr"/>
      <c r="F7" s="9" t="inlineStr"/>
      <c r="G7" s="9" t="inlineStr">
        <is>
          <t>12:21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07:18</t>
        </is>
      </c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07:21</t>
        </is>
      </c>
      <c r="E9" s="9" t="inlineStr"/>
      <c r="F9" s="9" t="inlineStr"/>
      <c r="G9" s="9" t="inlineStr">
        <is>
          <t>12:25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07:26</t>
        </is>
      </c>
      <c r="E10" s="9" t="inlineStr"/>
      <c r="F10" s="9" t="inlineStr"/>
      <c r="G10" s="9" t="inlineStr">
        <is>
          <t>12:24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07:31</t>
        </is>
      </c>
      <c r="E14" s="9" t="inlineStr"/>
      <c r="F14" s="9" t="inlineStr"/>
      <c r="G14" s="9" t="inlineStr">
        <is>
          <t>12:22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07:29</t>
        </is>
      </c>
      <c r="E15" s="9" t="inlineStr"/>
      <c r="F15" s="9" t="inlineStr"/>
      <c r="G15" s="9" t="inlineStr">
        <is>
          <t>12:24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07:25</t>
        </is>
      </c>
      <c r="E16" s="9" t="inlineStr"/>
      <c r="F16" s="9" t="inlineStr"/>
      <c r="G16" s="9" t="inlineStr">
        <is>
          <t>12:25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07:36</t>
        </is>
      </c>
      <c r="E17" s="9" t="inlineStr"/>
      <c r="F17" s="9" t="inlineStr"/>
      <c r="G17" s="9" t="inlineStr">
        <is>
          <t>12:20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12:25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GERLANDIA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021.440.483-80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Giovana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07:12</t>
        </is>
      </c>
      <c r="E6" s="9" t="inlineStr">
        <is>
          <t>11:20</t>
        </is>
      </c>
      <c r="F6" s="9" t="inlineStr">
        <is>
          <t>12:23</t>
        </is>
      </c>
      <c r="G6" s="9" t="inlineStr">
        <is>
          <t>17:33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07:15</t>
        </is>
      </c>
      <c r="E7" s="9" t="inlineStr">
        <is>
          <t>11:32</t>
        </is>
      </c>
      <c r="F7" s="9" t="inlineStr">
        <is>
          <t>12:33</t>
        </is>
      </c>
      <c r="G7" s="9" t="inlineStr">
        <is>
          <t>18:06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07:23</t>
        </is>
      </c>
      <c r="E8" s="9" t="inlineStr">
        <is>
          <t>11:50</t>
        </is>
      </c>
      <c r="F8" s="9" t="inlineStr">
        <is>
          <t>12:50</t>
        </is>
      </c>
      <c r="G8" s="9" t="inlineStr">
        <is>
          <t>17:39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08:09</t>
        </is>
      </c>
      <c r="E9" s="9" t="inlineStr">
        <is>
          <t>11:50</t>
        </is>
      </c>
      <c r="F9" s="9" t="inlineStr">
        <is>
          <t>12:50</t>
        </is>
      </c>
      <c r="G9" s="9" t="inlineStr">
        <is>
          <t>18:22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08:17</t>
        </is>
      </c>
      <c r="E10" s="9" t="inlineStr">
        <is>
          <t>11:50</t>
        </is>
      </c>
      <c r="F10" s="9" t="inlineStr">
        <is>
          <t>12:49</t>
        </is>
      </c>
      <c r="G10" s="9" t="inlineStr">
        <is>
          <t>18:17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11:21</t>
        </is>
      </c>
      <c r="E14" s="9" t="inlineStr"/>
      <c r="F14" s="9" t="inlineStr"/>
      <c r="G14" s="9" t="inlineStr">
        <is>
          <t>18:26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08:26</t>
        </is>
      </c>
      <c r="E15" s="9" t="inlineStr">
        <is>
          <t>11:30</t>
        </is>
      </c>
      <c r="F15" s="9" t="inlineStr">
        <is>
          <t>12:30</t>
        </is>
      </c>
      <c r="G15" s="9" t="inlineStr">
        <is>
          <t>18:17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08:34</t>
        </is>
      </c>
      <c r="E16" s="9" t="inlineStr">
        <is>
          <t>11:53</t>
        </is>
      </c>
      <c r="F16" s="9" t="inlineStr">
        <is>
          <t>12:50</t>
        </is>
      </c>
      <c r="G16" s="9" t="inlineStr">
        <is>
          <t>18:26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08:19</t>
        </is>
      </c>
      <c r="E17" s="9" t="inlineStr">
        <is>
          <t>11:30</t>
        </is>
      </c>
      <c r="F17" s="9" t="inlineStr">
        <is>
          <t>12:30</t>
        </is>
      </c>
      <c r="G17" s="9" t="inlineStr">
        <is>
          <t>18:22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08:12</t>
        </is>
      </c>
      <c r="E18" s="9" t="inlineStr">
        <is>
          <t>11:30</t>
        </is>
      </c>
      <c r="F18" s="9" t="inlineStr">
        <is>
          <t>12:30</t>
        </is>
      </c>
      <c r="G18" s="9" t="inlineStr">
        <is>
          <t>18:24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GIOVANA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537.771.808-90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GUILHERME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09:55</t>
        </is>
      </c>
      <c r="E6" s="9" t="inlineStr"/>
      <c r="F6" s="9" t="inlineStr"/>
      <c r="G6" s="9" t="inlineStr">
        <is>
          <t>13:00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07:22</t>
        </is>
      </c>
      <c r="E7" s="9" t="inlineStr">
        <is>
          <t>07:28</t>
        </is>
      </c>
      <c r="F7" s="9" t="inlineStr">
        <is>
          <t>12:22</t>
        </is>
      </c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07:24</t>
        </is>
      </c>
      <c r="E8" s="9" t="inlineStr">
        <is>
          <t>12:20</t>
        </is>
      </c>
      <c r="F8" s="9" t="inlineStr">
        <is>
          <t>13:01</t>
        </is>
      </c>
      <c r="G8" s="9" t="inlineStr">
        <is>
          <t>18:15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09:33</t>
        </is>
      </c>
      <c r="E14" s="9" t="inlineStr">
        <is>
          <t>11:58</t>
        </is>
      </c>
      <c r="F14" s="9" t="inlineStr">
        <is>
          <t>12:58</t>
        </is>
      </c>
      <c r="G14" s="9" t="inlineStr">
        <is>
          <t>15:20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07:20</t>
        </is>
      </c>
      <c r="E15" s="9" t="inlineStr"/>
      <c r="F15" s="9" t="inlineStr"/>
      <c r="G15" s="9" t="inlineStr">
        <is>
          <t>12:20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07:22</t>
        </is>
      </c>
      <c r="E16" s="9" t="inlineStr"/>
      <c r="F16" s="9" t="inlineStr"/>
      <c r="G16" s="9" t="inlineStr">
        <is>
          <t>18:02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07:46</t>
        </is>
      </c>
      <c r="E17" s="9" t="inlineStr"/>
      <c r="F17" s="9" t="inlineStr"/>
      <c r="G17" s="9" t="inlineStr">
        <is>
          <t>12:22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12:22</t>
        </is>
      </c>
      <c r="H18" s="10">
        <f>(G18-D18)-(F18-E18)</f>
        <v/>
      </c>
      <c r="I18" s="10" t="n">
        <v>0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GUILHERME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485.038.738-18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Hilda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07:27</t>
        </is>
      </c>
      <c r="E6" s="9" t="inlineStr"/>
      <c r="F6" s="9" t="inlineStr"/>
      <c r="G6" s="9" t="inlineStr">
        <is>
          <t>12:22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07:30</t>
        </is>
      </c>
      <c r="E8" s="9" t="inlineStr"/>
      <c r="F8" s="9" t="inlineStr"/>
      <c r="G8" s="9" t="inlineStr">
        <is>
          <t>12:21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07:29</t>
        </is>
      </c>
      <c r="E10" s="9" t="inlineStr"/>
      <c r="F10" s="9" t="inlineStr"/>
      <c r="G10" s="9" t="inlineStr">
        <is>
          <t>12:27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07:29</t>
        </is>
      </c>
      <c r="E14" s="9" t="inlineStr"/>
      <c r="F14" s="9" t="inlineStr"/>
      <c r="G14" s="9" t="inlineStr">
        <is>
          <t>12:24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07:30</t>
        </is>
      </c>
      <c r="E16" s="9" t="inlineStr"/>
      <c r="F16" s="9" t="inlineStr"/>
      <c r="G16" s="9" t="inlineStr">
        <is>
          <t>12:23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07:28</t>
        </is>
      </c>
      <c r="E18" s="9" t="inlineStr"/>
      <c r="F18" s="9" t="inlineStr"/>
      <c r="G18" s="9" t="inlineStr">
        <is>
          <t>12:27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HILDA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113.635.908-71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Ingrid Rocha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06:53</t>
        </is>
      </c>
      <c r="E8" s="9" t="inlineStr">
        <is>
          <t>11:09</t>
        </is>
      </c>
      <c r="F8" s="9" t="inlineStr">
        <is>
          <t>11:56</t>
        </is>
      </c>
      <c r="G8" s="9" t="inlineStr">
        <is>
          <t>17:19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INGRID ROCHA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ISADORA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08:22</t>
        </is>
      </c>
      <c r="E6" s="9" t="inlineStr">
        <is>
          <t>13:04</t>
        </is>
      </c>
      <c r="F6" s="9" t="inlineStr">
        <is>
          <t>13:40</t>
        </is>
      </c>
      <c r="G6" s="9" t="inlineStr">
        <is>
          <t>18:19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08:13</t>
        </is>
      </c>
      <c r="E7" s="9" t="inlineStr">
        <is>
          <t>13:02</t>
        </is>
      </c>
      <c r="F7" s="9" t="inlineStr">
        <is>
          <t>13:59</t>
        </is>
      </c>
      <c r="G7" s="9" t="inlineStr">
        <is>
          <t>18:28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08:43</t>
        </is>
      </c>
      <c r="E8" s="9" t="inlineStr">
        <is>
          <t>13:10</t>
        </is>
      </c>
      <c r="F8" s="9" t="inlineStr">
        <is>
          <t>14:02</t>
        </is>
      </c>
      <c r="G8" s="9" t="inlineStr">
        <is>
          <t>18:33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07:59</t>
        </is>
      </c>
      <c r="E9" s="9" t="inlineStr">
        <is>
          <t>12:56</t>
        </is>
      </c>
      <c r="F9" s="9" t="inlineStr">
        <is>
          <t>13:31</t>
        </is>
      </c>
      <c r="G9" s="9" t="inlineStr">
        <is>
          <t>18:24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08:32</t>
        </is>
      </c>
      <c r="E10" s="9" t="inlineStr">
        <is>
          <t>13:04</t>
        </is>
      </c>
      <c r="F10" s="9" t="inlineStr">
        <is>
          <t>14:07</t>
        </is>
      </c>
      <c r="G10" s="9" t="inlineStr">
        <is>
          <t>18:26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08:25</t>
        </is>
      </c>
      <c r="E14" s="9" t="inlineStr">
        <is>
          <t>13:14</t>
        </is>
      </c>
      <c r="F14" s="9" t="inlineStr">
        <is>
          <t>18:29</t>
        </is>
      </c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08:53</t>
        </is>
      </c>
      <c r="E15" s="9" t="inlineStr">
        <is>
          <t>13:15</t>
        </is>
      </c>
      <c r="F15" s="9" t="inlineStr">
        <is>
          <t>14:03</t>
        </is>
      </c>
      <c r="G15" s="9" t="inlineStr">
        <is>
          <t>18:29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08:23</t>
        </is>
      </c>
      <c r="E16" s="9" t="inlineStr">
        <is>
          <t>13:17</t>
        </is>
      </c>
      <c r="F16" s="9" t="inlineStr">
        <is>
          <t>13:51</t>
        </is>
      </c>
      <c r="G16" s="9" t="inlineStr">
        <is>
          <t>18:36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08:52</t>
        </is>
      </c>
      <c r="E17" s="9" t="inlineStr">
        <is>
          <t>13:00</t>
        </is>
      </c>
      <c r="F17" s="9" t="inlineStr">
        <is>
          <t>13:52</t>
        </is>
      </c>
      <c r="G17" s="9" t="inlineStr">
        <is>
          <t>18:22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08:42</t>
        </is>
      </c>
      <c r="E18" s="9" t="inlineStr">
        <is>
          <t>13:32</t>
        </is>
      </c>
      <c r="F18" s="9" t="inlineStr">
        <is>
          <t>14:19</t>
        </is>
      </c>
      <c r="G18" s="9" t="inlineStr">
        <is>
          <t>18:24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ISADORA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500.263.528-85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ISAQUE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06:41</t>
        </is>
      </c>
      <c r="E6" s="9" t="inlineStr">
        <is>
          <t>10:51</t>
        </is>
      </c>
      <c r="F6" s="9" t="inlineStr">
        <is>
          <t>11:54</t>
        </is>
      </c>
      <c r="G6" s="9" t="inlineStr">
        <is>
          <t>18:25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06:37</t>
        </is>
      </c>
      <c r="E7" s="9" t="inlineStr">
        <is>
          <t>10:56</t>
        </is>
      </c>
      <c r="F7" s="9" t="inlineStr">
        <is>
          <t>11:52</t>
        </is>
      </c>
      <c r="G7" s="9" t="inlineStr">
        <is>
          <t>18:36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06:38</t>
        </is>
      </c>
      <c r="E8" s="9" t="inlineStr">
        <is>
          <t>10:57</t>
        </is>
      </c>
      <c r="F8" s="9" t="inlineStr">
        <is>
          <t>11:53</t>
        </is>
      </c>
      <c r="G8" s="9" t="inlineStr">
        <is>
          <t>18:37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06:40</t>
        </is>
      </c>
      <c r="E9" s="9" t="inlineStr">
        <is>
          <t>10:52</t>
        </is>
      </c>
      <c r="F9" s="9" t="inlineStr">
        <is>
          <t>11:51</t>
        </is>
      </c>
      <c r="G9" s="9" t="inlineStr">
        <is>
          <t>18:15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06:38</t>
        </is>
      </c>
      <c r="E10" s="9" t="inlineStr">
        <is>
          <t>10:52</t>
        </is>
      </c>
      <c r="F10" s="9" t="inlineStr">
        <is>
          <t>11:52</t>
        </is>
      </c>
      <c r="G10" s="9" t="inlineStr">
        <is>
          <t>18:25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06:37</t>
        </is>
      </c>
      <c r="E14" s="9" t="inlineStr">
        <is>
          <t>11:02</t>
        </is>
      </c>
      <c r="F14" s="9" t="inlineStr">
        <is>
          <t>11:55</t>
        </is>
      </c>
      <c r="G14" s="9" t="inlineStr">
        <is>
          <t>18:34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06:38</t>
        </is>
      </c>
      <c r="E15" s="9" t="inlineStr">
        <is>
          <t>10:54</t>
        </is>
      </c>
      <c r="F15" s="9" t="inlineStr">
        <is>
          <t>11:55</t>
        </is>
      </c>
      <c r="G15" s="9" t="inlineStr">
        <is>
          <t>18:31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06:35</t>
        </is>
      </c>
      <c r="E16" s="9" t="inlineStr">
        <is>
          <t>10:58</t>
        </is>
      </c>
      <c r="F16" s="9" t="inlineStr">
        <is>
          <t>11:55</t>
        </is>
      </c>
      <c r="G16" s="9" t="inlineStr">
        <is>
          <t>18:27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06:39</t>
        </is>
      </c>
      <c r="E17" s="9" t="inlineStr">
        <is>
          <t>10:52</t>
        </is>
      </c>
      <c r="F17" s="9" t="inlineStr">
        <is>
          <t>11:49</t>
        </is>
      </c>
      <c r="G17" s="9" t="inlineStr">
        <is>
          <t>18:25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06:34</t>
        </is>
      </c>
      <c r="E18" s="9" t="inlineStr">
        <is>
          <t>10:54</t>
        </is>
      </c>
      <c r="F18" s="9" t="inlineStr">
        <is>
          <t>11:55</t>
        </is>
      </c>
      <c r="G18" s="9" t="inlineStr">
        <is>
          <t>18:30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ISAQUE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334.020.512-49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Joyce S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18:03</t>
        </is>
      </c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08:17</t>
        </is>
      </c>
      <c r="E8" s="9" t="inlineStr">
        <is>
          <t>11:01</t>
        </is>
      </c>
      <c r="F8" s="9" t="inlineStr">
        <is>
          <t>11:57</t>
        </is>
      </c>
      <c r="G8" s="9" t="inlineStr">
        <is>
          <t>18:11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08:09</t>
        </is>
      </c>
      <c r="E9" s="9" t="inlineStr">
        <is>
          <t>11:11</t>
        </is>
      </c>
      <c r="F9" s="9" t="inlineStr">
        <is>
          <t>12:01</t>
        </is>
      </c>
      <c r="G9" s="9" t="inlineStr">
        <is>
          <t>18:15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10:15</t>
        </is>
      </c>
      <c r="E10" s="9" t="inlineStr">
        <is>
          <t>13:20</t>
        </is>
      </c>
      <c r="F10" s="9" t="inlineStr">
        <is>
          <t>14:23</t>
        </is>
      </c>
      <c r="G10" s="9" t="inlineStr">
        <is>
          <t>18:13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08:54</t>
        </is>
      </c>
      <c r="E15" s="9" t="inlineStr">
        <is>
          <t>11:07</t>
        </is>
      </c>
      <c r="F15" s="9" t="inlineStr">
        <is>
          <t>12:03</t>
        </is>
      </c>
      <c r="G15" s="9" t="inlineStr">
        <is>
          <t>18:15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08:10</t>
        </is>
      </c>
      <c r="E16" s="9" t="inlineStr">
        <is>
          <t>11:00</t>
        </is>
      </c>
      <c r="F16" s="9" t="inlineStr">
        <is>
          <t>12:00</t>
        </is>
      </c>
      <c r="G16" s="9" t="inlineStr">
        <is>
          <t>18:03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JOYCE S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Juliane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07:55</t>
        </is>
      </c>
      <c r="E6" s="9" t="inlineStr">
        <is>
          <t>12:32</t>
        </is>
      </c>
      <c r="F6" s="9" t="inlineStr">
        <is>
          <t>13:30</t>
        </is>
      </c>
      <c r="G6" s="9" t="inlineStr">
        <is>
          <t>17:49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07:48</t>
        </is>
      </c>
      <c r="E7" s="9" t="inlineStr">
        <is>
          <t>12:34</t>
        </is>
      </c>
      <c r="F7" s="9" t="inlineStr">
        <is>
          <t>13:28</t>
        </is>
      </c>
      <c r="G7" s="9" t="inlineStr">
        <is>
          <t>17:52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08:00</t>
        </is>
      </c>
      <c r="E8" s="9" t="inlineStr">
        <is>
          <t>12:34</t>
        </is>
      </c>
      <c r="F8" s="9" t="inlineStr">
        <is>
          <t>13:26</t>
        </is>
      </c>
      <c r="G8" s="9" t="inlineStr">
        <is>
          <t>17:53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07:47</t>
        </is>
      </c>
      <c r="E9" s="9" t="inlineStr">
        <is>
          <t>12:37</t>
        </is>
      </c>
      <c r="F9" s="9" t="inlineStr">
        <is>
          <t>13:31</t>
        </is>
      </c>
      <c r="G9" s="9" t="inlineStr">
        <is>
          <t>17:53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07:47</t>
        </is>
      </c>
      <c r="E10" s="9" t="inlineStr">
        <is>
          <t>12:44</t>
        </is>
      </c>
      <c r="F10" s="9" t="inlineStr">
        <is>
          <t>13:29</t>
        </is>
      </c>
      <c r="G10" s="9" t="inlineStr">
        <is>
          <t>18:16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08:23</t>
        </is>
      </c>
      <c r="E14" s="9" t="inlineStr">
        <is>
          <t>12:34</t>
        </is>
      </c>
      <c r="F14" s="9" t="inlineStr">
        <is>
          <t>13:33</t>
        </is>
      </c>
      <c r="G14" s="9" t="inlineStr">
        <is>
          <t>17:52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07:33</t>
        </is>
      </c>
      <c r="E15" s="9" t="inlineStr">
        <is>
          <t>12:37</t>
        </is>
      </c>
      <c r="F15" s="9" t="inlineStr">
        <is>
          <t>13:29</t>
        </is>
      </c>
      <c r="G15" s="9" t="inlineStr">
        <is>
          <t>17:48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08:10</t>
        </is>
      </c>
      <c r="E16" s="9" t="inlineStr">
        <is>
          <t>12:38</t>
        </is>
      </c>
      <c r="F16" s="9" t="inlineStr">
        <is>
          <t>13:29</t>
        </is>
      </c>
      <c r="G16" s="9" t="inlineStr">
        <is>
          <t>17:57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07:49</t>
        </is>
      </c>
      <c r="E17" s="9" t="inlineStr">
        <is>
          <t>12:34</t>
        </is>
      </c>
      <c r="F17" s="9" t="inlineStr">
        <is>
          <t>13:29</t>
        </is>
      </c>
      <c r="G17" s="9" t="inlineStr">
        <is>
          <t>17:50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07:42</t>
        </is>
      </c>
      <c r="E18" s="9" t="inlineStr">
        <is>
          <t>12:37</t>
        </is>
      </c>
      <c r="F18" s="9" t="inlineStr">
        <is>
          <t>13:29</t>
        </is>
      </c>
      <c r="G18" s="9" t="inlineStr">
        <is>
          <t>17:44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JULIANE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504.586.078-00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Kaiene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17:21</t>
        </is>
      </c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10:59</t>
        </is>
      </c>
      <c r="E15" s="9" t="inlineStr"/>
      <c r="F15" s="9" t="inlineStr"/>
      <c r="G15" s="9" t="inlineStr">
        <is>
          <t>17:00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06:54</t>
        </is>
      </c>
      <c r="E16" s="9" t="inlineStr">
        <is>
          <t>10:57</t>
        </is>
      </c>
      <c r="F16" s="9" t="inlineStr">
        <is>
          <t>11:57</t>
        </is>
      </c>
      <c r="G16" s="9" t="inlineStr">
        <is>
          <t>17:01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06:46</t>
        </is>
      </c>
      <c r="E17" s="9" t="inlineStr">
        <is>
          <t>10:57</t>
        </is>
      </c>
      <c r="F17" s="9" t="inlineStr">
        <is>
          <t>11:57</t>
        </is>
      </c>
      <c r="G17" s="9" t="inlineStr">
        <is>
          <t>17:00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06:36</t>
        </is>
      </c>
      <c r="E18" s="9" t="inlineStr">
        <is>
          <t>11:04</t>
        </is>
      </c>
      <c r="F18" s="9" t="inlineStr">
        <is>
          <t>11:56</t>
        </is>
      </c>
      <c r="G18" s="9" t="inlineStr">
        <is>
          <t>17:02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KAIENE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433.526.048-27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Kamilla Duarte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07:12</t>
        </is>
      </c>
      <c r="E6" s="9" t="inlineStr">
        <is>
          <t>11:00</t>
        </is>
      </c>
      <c r="F6" s="9" t="inlineStr">
        <is>
          <t>12:01</t>
        </is>
      </c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07:09</t>
        </is>
      </c>
      <c r="E7" s="9" t="inlineStr">
        <is>
          <t>11:00</t>
        </is>
      </c>
      <c r="F7" s="9" t="inlineStr">
        <is>
          <t>12:08</t>
        </is>
      </c>
      <c r="G7" s="9" t="inlineStr">
        <is>
          <t>17:23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07:23</t>
        </is>
      </c>
      <c r="E8" s="9" t="inlineStr">
        <is>
          <t>11:01</t>
        </is>
      </c>
      <c r="F8" s="9" t="inlineStr">
        <is>
          <t>12:02</t>
        </is>
      </c>
      <c r="G8" s="9" t="inlineStr">
        <is>
          <t>17:05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07:18</t>
        </is>
      </c>
      <c r="E9" s="9" t="inlineStr">
        <is>
          <t>11:00</t>
        </is>
      </c>
      <c r="F9" s="9" t="inlineStr">
        <is>
          <t>12:01</t>
        </is>
      </c>
      <c r="G9" s="9" t="inlineStr">
        <is>
          <t>17:06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07:39</t>
        </is>
      </c>
      <c r="E10" s="9" t="inlineStr">
        <is>
          <t>10:53</t>
        </is>
      </c>
      <c r="F10" s="9" t="inlineStr">
        <is>
          <t>11:54</t>
        </is>
      </c>
      <c r="G10" s="9" t="inlineStr">
        <is>
          <t>17:21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14:58</t>
        </is>
      </c>
      <c r="E14" s="9" t="inlineStr"/>
      <c r="F14" s="9" t="inlineStr"/>
      <c r="G14" s="9" t="inlineStr">
        <is>
          <t>18:28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07:31</t>
        </is>
      </c>
      <c r="E17" s="9" t="inlineStr">
        <is>
          <t>10:52</t>
        </is>
      </c>
      <c r="F17" s="9" t="inlineStr">
        <is>
          <t>11:54</t>
        </is>
      </c>
      <c r="G17" s="9" t="inlineStr">
        <is>
          <t>17:21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07:35</t>
        </is>
      </c>
      <c r="E18" s="9" t="inlineStr">
        <is>
          <t>10:52</t>
        </is>
      </c>
      <c r="F18" s="9" t="inlineStr">
        <is>
          <t>11:54</t>
        </is>
      </c>
      <c r="G18" s="9" t="inlineStr">
        <is>
          <t>17:25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KAMILLA DUARTE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Kayo Ribeiro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13:45</t>
        </is>
      </c>
      <c r="E7" s="9" t="inlineStr"/>
      <c r="F7" s="9" t="inlineStr"/>
      <c r="G7" s="9" t="inlineStr">
        <is>
          <t>15:20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13:40</t>
        </is>
      </c>
      <c r="E15" s="9" t="inlineStr"/>
      <c r="F15" s="9" t="inlineStr"/>
      <c r="G15" s="9" t="inlineStr">
        <is>
          <t>15:21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KAYO RIBEIRO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LETICIA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LETICIA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504.174.088-70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LETICIA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07:25</t>
        </is>
      </c>
      <c r="E6" s="9" t="inlineStr"/>
      <c r="F6" s="9" t="inlineStr"/>
      <c r="G6" s="9" t="inlineStr">
        <is>
          <t>12:24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07:28</t>
        </is>
      </c>
      <c r="E7" s="9" t="inlineStr"/>
      <c r="F7" s="9" t="inlineStr"/>
      <c r="G7" s="9" t="inlineStr">
        <is>
          <t>12:28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07:23</t>
        </is>
      </c>
      <c r="E8" s="9" t="inlineStr"/>
      <c r="F8" s="9" t="inlineStr"/>
      <c r="G8" s="9" t="inlineStr">
        <is>
          <t>12:23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07:37</t>
        </is>
      </c>
      <c r="E9" s="9" t="inlineStr"/>
      <c r="F9" s="9" t="inlineStr"/>
      <c r="G9" s="9" t="inlineStr">
        <is>
          <t>12:25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07:18</t>
        </is>
      </c>
      <c r="E10" s="9" t="inlineStr"/>
      <c r="F10" s="9" t="inlineStr"/>
      <c r="G10" s="9" t="inlineStr">
        <is>
          <t>12:29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07:25</t>
        </is>
      </c>
      <c r="E14" s="9" t="inlineStr"/>
      <c r="F14" s="9" t="inlineStr"/>
      <c r="G14" s="9" t="inlineStr">
        <is>
          <t>12:44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07:30</t>
        </is>
      </c>
      <c r="E15" s="9" t="inlineStr"/>
      <c r="F15" s="9" t="inlineStr"/>
      <c r="G15" s="9" t="inlineStr">
        <is>
          <t>12:27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07:52</t>
        </is>
      </c>
      <c r="E16" s="9" t="inlineStr"/>
      <c r="F16" s="9" t="inlineStr"/>
      <c r="G16" s="9" t="inlineStr">
        <is>
          <t>12:25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07:20</t>
        </is>
      </c>
      <c r="E17" s="9" t="inlineStr"/>
      <c r="F17" s="9" t="inlineStr"/>
      <c r="G17" s="9" t="inlineStr">
        <is>
          <t>12:27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07:25</t>
        </is>
      </c>
      <c r="E18" s="9" t="inlineStr"/>
      <c r="F18" s="9" t="inlineStr"/>
      <c r="G18" s="9" t="inlineStr">
        <is>
          <t>12:28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LETICIA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504.174.088-70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MARIANE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07:40</t>
        </is>
      </c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07:41</t>
        </is>
      </c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MARIANE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311.754.918-88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monica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08:51</t>
        </is>
      </c>
      <c r="E6" s="9" t="inlineStr"/>
      <c r="F6" s="9" t="inlineStr"/>
      <c r="G6" s="9" t="inlineStr">
        <is>
          <t>12:22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07:40</t>
        </is>
      </c>
      <c r="E7" s="9" t="inlineStr"/>
      <c r="F7" s="9" t="inlineStr"/>
      <c r="G7" s="9" t="inlineStr">
        <is>
          <t>12:20</t>
        </is>
      </c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08:52</t>
        </is>
      </c>
      <c r="E10" s="9" t="inlineStr"/>
      <c r="F10" s="9" t="inlineStr"/>
      <c r="G10" s="9" t="inlineStr">
        <is>
          <t>11:39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08:54</t>
        </is>
      </c>
      <c r="E14" s="9" t="inlineStr"/>
      <c r="F14" s="9" t="inlineStr"/>
      <c r="G14" s="9" t="inlineStr">
        <is>
          <t>12:22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07:21</t>
        </is>
      </c>
      <c r="E15" s="9" t="inlineStr"/>
      <c r="F15" s="9" t="inlineStr"/>
      <c r="G15" s="9" t="inlineStr">
        <is>
          <t>12:20</t>
        </is>
      </c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08:51</t>
        </is>
      </c>
      <c r="E18" s="9" t="inlineStr"/>
      <c r="F18" s="9" t="inlineStr"/>
      <c r="G18" s="9" t="inlineStr">
        <is>
          <t>11:47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MONICA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437.780.908-36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patricia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07:29</t>
        </is>
      </c>
      <c r="E8" s="9" t="inlineStr"/>
      <c r="F8" s="9" t="inlineStr"/>
      <c r="G8" s="9" t="inlineStr">
        <is>
          <t>12:22</t>
        </is>
      </c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07:17</t>
        </is>
      </c>
      <c r="E9" s="9" t="inlineStr"/>
      <c r="F9" s="9" t="inlineStr"/>
      <c r="G9" s="9" t="inlineStr">
        <is>
          <t>12:29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07:29</t>
        </is>
      </c>
      <c r="E16" s="9" t="inlineStr"/>
      <c r="F16" s="9" t="inlineStr"/>
      <c r="G16" s="9" t="inlineStr">
        <is>
          <t>12:24</t>
        </is>
      </c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07:41</t>
        </is>
      </c>
      <c r="E17" s="9" t="inlineStr"/>
      <c r="F17" s="9" t="inlineStr"/>
      <c r="G17" s="9" t="inlineStr">
        <is>
          <t>12:23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PATRICIA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103.210.298-52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Paula Alves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07:56</t>
        </is>
      </c>
      <c r="E6" s="9" t="inlineStr">
        <is>
          <t>12:32</t>
        </is>
      </c>
      <c r="F6" s="9" t="inlineStr">
        <is>
          <t>13:30</t>
        </is>
      </c>
      <c r="G6" s="9" t="inlineStr">
        <is>
          <t>17:49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07:53</t>
        </is>
      </c>
      <c r="E7" s="9" t="inlineStr">
        <is>
          <t>12:33</t>
        </is>
      </c>
      <c r="F7" s="9" t="inlineStr">
        <is>
          <t>13:32</t>
        </is>
      </c>
      <c r="G7" s="9" t="inlineStr">
        <is>
          <t>17:51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07:49</t>
        </is>
      </c>
      <c r="E8" s="9" t="inlineStr">
        <is>
          <t>12:32</t>
        </is>
      </c>
      <c r="F8" s="9" t="inlineStr">
        <is>
          <t>13:30</t>
        </is>
      </c>
      <c r="G8" s="9" t="inlineStr">
        <is>
          <t>17:50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07:48</t>
        </is>
      </c>
      <c r="E9" s="9" t="inlineStr">
        <is>
          <t>12:36</t>
        </is>
      </c>
      <c r="F9" s="9" t="inlineStr">
        <is>
          <t>13:05</t>
        </is>
      </c>
      <c r="G9" s="9" t="inlineStr">
        <is>
          <t>17:50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07:51</t>
        </is>
      </c>
      <c r="E10" s="9" t="inlineStr">
        <is>
          <t>12:40</t>
        </is>
      </c>
      <c r="F10" s="9" t="inlineStr">
        <is>
          <t>13:29</t>
        </is>
      </c>
      <c r="G10" s="9" t="inlineStr">
        <is>
          <t>18:10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07:50</t>
        </is>
      </c>
      <c r="E14" s="9" t="inlineStr">
        <is>
          <t>12:34</t>
        </is>
      </c>
      <c r="F14" s="9" t="inlineStr">
        <is>
          <t>13:29</t>
        </is>
      </c>
      <c r="G14" s="9" t="inlineStr">
        <is>
          <t>17:52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07:57</t>
        </is>
      </c>
      <c r="E15" s="9" t="inlineStr">
        <is>
          <t>12:33</t>
        </is>
      </c>
      <c r="F15" s="9" t="inlineStr">
        <is>
          <t>13:18</t>
        </is>
      </c>
      <c r="G15" s="9" t="inlineStr">
        <is>
          <t>17:48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07:47</t>
        </is>
      </c>
      <c r="E16" s="9" t="inlineStr">
        <is>
          <t>12:40</t>
        </is>
      </c>
      <c r="F16" s="9" t="inlineStr">
        <is>
          <t>13:24</t>
        </is>
      </c>
      <c r="G16" s="9" t="inlineStr">
        <is>
          <t>17:50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07:53</t>
        </is>
      </c>
      <c r="E17" s="9" t="inlineStr">
        <is>
          <t>12:35</t>
        </is>
      </c>
      <c r="F17" s="9" t="inlineStr">
        <is>
          <t>13:21</t>
        </is>
      </c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07:41</t>
        </is>
      </c>
      <c r="E18" s="9" t="inlineStr">
        <is>
          <t>12:41</t>
        </is>
      </c>
      <c r="F18" s="9" t="inlineStr">
        <is>
          <t>13:24</t>
        </is>
      </c>
      <c r="G18" s="9" t="inlineStr">
        <is>
          <t>17:50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PAULA ALVES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PRISCILA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07:15</t>
        </is>
      </c>
      <c r="E6" s="9" t="inlineStr">
        <is>
          <t>12:17</t>
        </is>
      </c>
      <c r="F6" s="9" t="inlineStr">
        <is>
          <t>13:13</t>
        </is>
      </c>
      <c r="G6" s="9" t="inlineStr">
        <is>
          <t>17:50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07:29</t>
        </is>
      </c>
      <c r="E7" s="9" t="inlineStr">
        <is>
          <t>12:17</t>
        </is>
      </c>
      <c r="F7" s="9" t="inlineStr">
        <is>
          <t>13:13</t>
        </is>
      </c>
      <c r="G7" s="9" t="inlineStr">
        <is>
          <t>17:52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07:19</t>
        </is>
      </c>
      <c r="E8" s="9" t="inlineStr">
        <is>
          <t>12:20</t>
        </is>
      </c>
      <c r="F8" s="9" t="inlineStr">
        <is>
          <t>13:17</t>
        </is>
      </c>
      <c r="G8" s="9" t="inlineStr">
        <is>
          <t>17:50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07:18</t>
        </is>
      </c>
      <c r="E9" s="9" t="inlineStr">
        <is>
          <t>12:19</t>
        </is>
      </c>
      <c r="F9" s="9" t="inlineStr">
        <is>
          <t>13:06</t>
        </is>
      </c>
      <c r="G9" s="9" t="inlineStr">
        <is>
          <t>17:52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07:15</t>
        </is>
      </c>
      <c r="E10" s="9" t="inlineStr">
        <is>
          <t>12:15</t>
        </is>
      </c>
      <c r="F10" s="9" t="inlineStr">
        <is>
          <t>13:06</t>
        </is>
      </c>
      <c r="G10" s="9" t="inlineStr">
        <is>
          <t>17:53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07:19</t>
        </is>
      </c>
      <c r="E14" s="9" t="inlineStr">
        <is>
          <t>12:20</t>
        </is>
      </c>
      <c r="F14" s="9" t="inlineStr">
        <is>
          <t>13:04</t>
        </is>
      </c>
      <c r="G14" s="9" t="inlineStr">
        <is>
          <t>17:53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07:18</t>
        </is>
      </c>
      <c r="E15" s="9" t="inlineStr">
        <is>
          <t>12:23</t>
        </is>
      </c>
      <c r="F15" s="9" t="inlineStr">
        <is>
          <t>13:18</t>
        </is>
      </c>
      <c r="G15" s="9" t="inlineStr">
        <is>
          <t>17:52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07:21</t>
        </is>
      </c>
      <c r="E16" s="9" t="inlineStr">
        <is>
          <t>12:20</t>
        </is>
      </c>
      <c r="F16" s="9" t="inlineStr">
        <is>
          <t>13:18</t>
        </is>
      </c>
      <c r="G16" s="9" t="inlineStr">
        <is>
          <t>17:50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07:20</t>
        </is>
      </c>
      <c r="E17" s="9" t="inlineStr">
        <is>
          <t>12:16</t>
        </is>
      </c>
      <c r="F17" s="9" t="inlineStr">
        <is>
          <t>13:08</t>
        </is>
      </c>
      <c r="G17" s="9" t="inlineStr">
        <is>
          <t>17:52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07:16</t>
        </is>
      </c>
      <c r="E18" s="9" t="inlineStr">
        <is>
          <t>12:18</t>
        </is>
      </c>
      <c r="F18" s="9" t="inlineStr">
        <is>
          <t>13:07</t>
        </is>
      </c>
      <c r="G18" s="9" t="inlineStr">
        <is>
          <t>17:50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PRISCILA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321.504.628-85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Rodrigo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07:17</t>
        </is>
      </c>
      <c r="E6" s="9" t="inlineStr"/>
      <c r="F6" s="9" t="inlineStr"/>
      <c r="G6" s="9" t="inlineStr">
        <is>
          <t>10:55</t>
        </is>
      </c>
      <c r="H6" s="10">
        <f>(G6-D6)-(F6-E6)</f>
        <v/>
      </c>
      <c r="I6" s="10" t="n">
        <v>0.2083333333333333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0.2083333333333333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0.2083333333333333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08:07</t>
        </is>
      </c>
      <c r="E9" s="9" t="inlineStr"/>
      <c r="F9" s="9" t="inlineStr"/>
      <c r="G9" s="9" t="inlineStr">
        <is>
          <t>11:36</t>
        </is>
      </c>
      <c r="H9" s="10">
        <f>(G9-D9)-(F9-E9)</f>
        <v/>
      </c>
      <c r="I9" s="10" t="n">
        <v>0.2083333333333333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07:28</t>
        </is>
      </c>
      <c r="E10" s="9" t="inlineStr"/>
      <c r="F10" s="9" t="inlineStr"/>
      <c r="G10" s="9" t="inlineStr">
        <is>
          <t>10:59</t>
        </is>
      </c>
      <c r="H10" s="10">
        <f>(G10-D10)-(F10-E10)</f>
        <v/>
      </c>
      <c r="I10" s="10" t="n">
        <v>0.2083333333333333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07:21</t>
        </is>
      </c>
      <c r="E14" s="9" t="inlineStr"/>
      <c r="F14" s="9" t="inlineStr"/>
      <c r="G14" s="9" t="inlineStr">
        <is>
          <t>10:54</t>
        </is>
      </c>
      <c r="H14" s="10">
        <f>(G14-D14)-(F14-E14)</f>
        <v/>
      </c>
      <c r="I14" s="10" t="n">
        <v>0.2083333333333333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0.2083333333333333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0.2083333333333333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08:13</t>
        </is>
      </c>
      <c r="E17" s="9" t="inlineStr"/>
      <c r="F17" s="9" t="inlineStr"/>
      <c r="G17" s="9" t="inlineStr">
        <is>
          <t>11:36</t>
        </is>
      </c>
      <c r="H17" s="10">
        <f>(G17-D17)-(F17-E17)</f>
        <v/>
      </c>
      <c r="I17" s="10" t="n">
        <v>0.2083333333333333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07:27</t>
        </is>
      </c>
      <c r="E18" s="9" t="inlineStr"/>
      <c r="F18" s="9" t="inlineStr"/>
      <c r="G18" s="9" t="inlineStr">
        <is>
          <t>10:53</t>
        </is>
      </c>
      <c r="H18" s="10">
        <f>(G18-D18)-(F18-E18)</f>
        <v/>
      </c>
      <c r="I18" s="10" t="n">
        <v>0.2083333333333333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0.2083333333333333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0.2083333333333333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0.2083333333333333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0.2083333333333333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0.2083333333333333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0.2083333333333333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0.2083333333333333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0.2083333333333333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0.2083333333333333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0.2083333333333333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0.2083333333333333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0.2083333333333333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RODRIGO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350.986.768-86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Stephany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08:48</t>
        </is>
      </c>
      <c r="E6" s="9" t="inlineStr">
        <is>
          <t>11:20</t>
        </is>
      </c>
      <c r="F6" s="9" t="inlineStr">
        <is>
          <t>12:22</t>
        </is>
      </c>
      <c r="G6" s="9" t="inlineStr">
        <is>
          <t>18:15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08:34</t>
        </is>
      </c>
      <c r="E8" s="9" t="inlineStr">
        <is>
          <t>11:23</t>
        </is>
      </c>
      <c r="F8" s="9" t="inlineStr">
        <is>
          <t>12:23</t>
        </is>
      </c>
      <c r="G8" s="9" t="inlineStr">
        <is>
          <t>18:36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09:10</t>
        </is>
      </c>
      <c r="E9" s="9" t="inlineStr">
        <is>
          <t>10:52</t>
        </is>
      </c>
      <c r="F9" s="9" t="inlineStr">
        <is>
          <t>11:52</t>
        </is>
      </c>
      <c r="G9" s="9" t="inlineStr">
        <is>
          <t>18:23</t>
        </is>
      </c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08:48</t>
        </is>
      </c>
      <c r="E10" s="9" t="inlineStr">
        <is>
          <t>10:52</t>
        </is>
      </c>
      <c r="F10" s="9" t="inlineStr">
        <is>
          <t>11:54</t>
        </is>
      </c>
      <c r="G10" s="9" t="inlineStr">
        <is>
          <t>18:23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08:59</t>
        </is>
      </c>
      <c r="E14" s="9" t="inlineStr">
        <is>
          <t>10:55</t>
        </is>
      </c>
      <c r="F14" s="9" t="inlineStr">
        <is>
          <t>11:57</t>
        </is>
      </c>
      <c r="G14" s="9" t="inlineStr">
        <is>
          <t>18:28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09:00</t>
        </is>
      </c>
      <c r="E15" s="9" t="inlineStr">
        <is>
          <t>10:53</t>
        </is>
      </c>
      <c r="F15" s="9" t="inlineStr">
        <is>
          <t>11:54</t>
        </is>
      </c>
      <c r="G15" s="9" t="inlineStr">
        <is>
          <t>18:28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08:57</t>
        </is>
      </c>
      <c r="E16" s="9" t="inlineStr">
        <is>
          <t>10:55</t>
        </is>
      </c>
      <c r="F16" s="9" t="inlineStr">
        <is>
          <t>11:56</t>
        </is>
      </c>
      <c r="G16" s="9" t="inlineStr">
        <is>
          <t>18:35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09:01</t>
        </is>
      </c>
      <c r="E17" s="9" t="inlineStr">
        <is>
          <t>10:52</t>
        </is>
      </c>
      <c r="F17" s="9" t="inlineStr">
        <is>
          <t>11:54</t>
        </is>
      </c>
      <c r="G17" s="9" t="inlineStr">
        <is>
          <t>18:22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08:47</t>
        </is>
      </c>
      <c r="E18" s="9" t="inlineStr">
        <is>
          <t>10:52</t>
        </is>
      </c>
      <c r="F18" s="9" t="inlineStr">
        <is>
          <t>11:53</t>
        </is>
      </c>
      <c r="G18" s="9" t="inlineStr">
        <is>
          <t>18:25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STEPHANY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479.320.558-57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TAMIRES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/>
      <c r="E6" s="9" t="inlineStr"/>
      <c r="F6" s="9" t="inlineStr"/>
      <c r="G6" s="9" t="inlineStr"/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/>
      <c r="E7" s="9" t="inlineStr"/>
      <c r="F7" s="9" t="inlineStr"/>
      <c r="G7" s="9" t="inlineStr"/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/>
      <c r="E8" s="9" t="inlineStr"/>
      <c r="F8" s="9" t="inlineStr"/>
      <c r="G8" s="9" t="inlineStr"/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/>
      <c r="E9" s="9" t="inlineStr"/>
      <c r="F9" s="9" t="inlineStr"/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/>
      <c r="E10" s="9" t="inlineStr"/>
      <c r="F10" s="9" t="inlineStr"/>
      <c r="G10" s="9" t="inlineStr"/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/>
      <c r="E14" s="9" t="inlineStr"/>
      <c r="F14" s="9" t="inlineStr"/>
      <c r="G14" s="9" t="inlineStr"/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/>
      <c r="E15" s="9" t="inlineStr"/>
      <c r="F15" s="9" t="inlineStr"/>
      <c r="G15" s="9" t="inlineStr"/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/>
      <c r="E16" s="9" t="inlineStr"/>
      <c r="F16" s="9" t="inlineStr"/>
      <c r="G16" s="9" t="inlineStr"/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/>
      <c r="E17" s="9" t="inlineStr"/>
      <c r="F17" s="9" t="inlineStr"/>
      <c r="G17" s="9" t="inlineStr"/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/>
      <c r="E18" s="9" t="inlineStr"/>
      <c r="F18" s="9" t="inlineStr"/>
      <c r="G18" s="9" t="inlineStr"/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TAMIRES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000.000.000-00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K57"/>
  <sheetViews>
    <sheetView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B1" s="1" t="inlineStr">
        <is>
          <t>viviane - MARÇO /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HORÁRIO: ________________________________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4" t="inlineStr">
        <is>
          <t>Data</t>
        </is>
      </c>
      <c r="C3" s="4" t="inlineStr">
        <is>
          <t>Dia da Semana</t>
        </is>
      </c>
      <c r="D3" s="4" t="inlineStr">
        <is>
          <t>Entrada - Manhã</t>
        </is>
      </c>
      <c r="E3" s="4" t="inlineStr">
        <is>
          <t>Saída (Manhã)</t>
        </is>
      </c>
      <c r="F3" s="4" t="inlineStr">
        <is>
          <t>Entrada (Tarde)</t>
        </is>
      </c>
      <c r="G3" s="4" t="inlineStr">
        <is>
          <t>Saída (Tarde)</t>
        </is>
      </c>
      <c r="H3" s="4" t="inlineStr">
        <is>
          <t>Horas Trabalhadas</t>
        </is>
      </c>
      <c r="I3" s="4" t="inlineStr">
        <is>
          <t>H. Semanal</t>
        </is>
      </c>
      <c r="J3" s="4" t="inlineStr">
        <is>
          <t>H. Extras</t>
        </is>
      </c>
      <c r="K3" s="4" t="inlineStr">
        <is>
          <t>H. Negativas</t>
        </is>
      </c>
    </row>
    <row r="4">
      <c r="B4" s="5" t="inlineStr">
        <is>
          <t>01/mar</t>
        </is>
      </c>
      <c r="C4" s="5" t="inlineStr">
        <is>
          <t>Domingo</t>
        </is>
      </c>
      <c r="D4" s="5" t="inlineStr"/>
      <c r="E4" s="5" t="inlineStr"/>
      <c r="F4" s="5" t="inlineStr"/>
      <c r="G4" s="5" t="inlineStr"/>
      <c r="H4" s="6">
        <f>(G4-D4)-(F4-E4)</f>
        <v/>
      </c>
      <c r="I4" s="6" t="n">
        <v>0</v>
      </c>
      <c r="J4" s="6">
        <f>IF(H4&gt;I4, H4-I4, 0)</f>
        <v/>
      </c>
      <c r="K4" s="6">
        <f>IF(H4&lt;I4, I4-H4, 0)</f>
        <v/>
      </c>
    </row>
    <row r="5">
      <c r="B5" s="7" t="inlineStr">
        <is>
          <t>TOTAL</t>
        </is>
      </c>
      <c r="C5" s="7" t="n"/>
      <c r="D5" s="7" t="n"/>
      <c r="E5" s="7" t="n"/>
      <c r="F5" s="7" t="n"/>
      <c r="G5" s="7" t="n"/>
      <c r="H5" s="8">
        <f>H4</f>
        <v/>
      </c>
      <c r="I5" s="7" t="n"/>
      <c r="J5" s="8">
        <f>J4</f>
        <v/>
      </c>
      <c r="K5" s="8">
        <f>K4</f>
        <v/>
      </c>
    </row>
    <row r="6">
      <c r="B6" s="9" t="inlineStr">
        <is>
          <t>02/mar</t>
        </is>
      </c>
      <c r="C6" s="9" t="inlineStr">
        <is>
          <t>Segunda-feira</t>
        </is>
      </c>
      <c r="D6" s="9" t="inlineStr">
        <is>
          <t>07:04</t>
        </is>
      </c>
      <c r="E6" s="9" t="inlineStr">
        <is>
          <t>12:23</t>
        </is>
      </c>
      <c r="F6" s="9" t="inlineStr">
        <is>
          <t>13:00</t>
        </is>
      </c>
      <c r="G6" s="9" t="inlineStr">
        <is>
          <t>17:51</t>
        </is>
      </c>
      <c r="H6" s="10">
        <f>(G6-D6)-(F6-E6)</f>
        <v/>
      </c>
      <c r="I6" s="10" t="n">
        <v>0.3666666666666667</v>
      </c>
      <c r="J6" s="10">
        <f>IF(H6&gt;I6, H6-I6, 0)</f>
        <v/>
      </c>
      <c r="K6" s="10">
        <f>IF(H6&lt;I6, I6-H6, 0)</f>
        <v/>
      </c>
    </row>
    <row r="7">
      <c r="B7" s="9" t="inlineStr">
        <is>
          <t>03/mar</t>
        </is>
      </c>
      <c r="C7" s="9" t="inlineStr">
        <is>
          <t>Terça-feira</t>
        </is>
      </c>
      <c r="D7" s="9" t="inlineStr">
        <is>
          <t>07:08</t>
        </is>
      </c>
      <c r="E7" s="9" t="inlineStr">
        <is>
          <t>12:19</t>
        </is>
      </c>
      <c r="F7" s="9" t="inlineStr">
        <is>
          <t>13:00</t>
        </is>
      </c>
      <c r="G7" s="9" t="inlineStr">
        <is>
          <t>17:54</t>
        </is>
      </c>
      <c r="H7" s="10">
        <f>(G7-D7)-(F7-E7)</f>
        <v/>
      </c>
      <c r="I7" s="10" t="n">
        <v>0.3666666666666667</v>
      </c>
      <c r="J7" s="10">
        <f>IF(H7&gt;I7, H7-I7, 0)</f>
        <v/>
      </c>
      <c r="K7" s="10">
        <f>IF(H7&lt;I7, I7-H7, 0)</f>
        <v/>
      </c>
    </row>
    <row r="8">
      <c r="B8" s="9" t="inlineStr">
        <is>
          <t>04/mar</t>
        </is>
      </c>
      <c r="C8" s="9" t="inlineStr">
        <is>
          <t>Quarta-feira</t>
        </is>
      </c>
      <c r="D8" s="9" t="inlineStr">
        <is>
          <t>07:04</t>
        </is>
      </c>
      <c r="E8" s="9" t="inlineStr">
        <is>
          <t>12:26</t>
        </is>
      </c>
      <c r="F8" s="9" t="inlineStr">
        <is>
          <t>13:01</t>
        </is>
      </c>
      <c r="G8" s="9" t="inlineStr">
        <is>
          <t>17:52</t>
        </is>
      </c>
      <c r="H8" s="10">
        <f>(G8-D8)-(F8-E8)</f>
        <v/>
      </c>
      <c r="I8" s="10" t="n">
        <v>0.3666666666666667</v>
      </c>
      <c r="J8" s="10">
        <f>IF(H8&gt;I8, H8-I8, 0)</f>
        <v/>
      </c>
      <c r="K8" s="10">
        <f>IF(H8&lt;I8, I8-H8, 0)</f>
        <v/>
      </c>
    </row>
    <row r="9">
      <c r="B9" s="9" t="inlineStr">
        <is>
          <t>05/mar</t>
        </is>
      </c>
      <c r="C9" s="9" t="inlineStr">
        <is>
          <t>Quinta-feira</t>
        </is>
      </c>
      <c r="D9" s="9" t="inlineStr">
        <is>
          <t>12:18</t>
        </is>
      </c>
      <c r="E9" s="9" t="inlineStr">
        <is>
          <t>13:06</t>
        </is>
      </c>
      <c r="F9" s="9" t="inlineStr">
        <is>
          <t>17:51</t>
        </is>
      </c>
      <c r="G9" s="9" t="inlineStr"/>
      <c r="H9" s="10">
        <f>(G9-D9)-(F9-E9)</f>
        <v/>
      </c>
      <c r="I9" s="10" t="n">
        <v>0.3666666666666667</v>
      </c>
      <c r="J9" s="10">
        <f>IF(H9&gt;I9, H9-I9, 0)</f>
        <v/>
      </c>
      <c r="K9" s="10">
        <f>IF(H9&lt;I9, I9-H9, 0)</f>
        <v/>
      </c>
    </row>
    <row r="10">
      <c r="B10" s="9" t="inlineStr">
        <is>
          <t>06/mar</t>
        </is>
      </c>
      <c r="C10" s="9" t="inlineStr">
        <is>
          <t>Sexta-feira</t>
        </is>
      </c>
      <c r="D10" s="9" t="inlineStr">
        <is>
          <t>07:15</t>
        </is>
      </c>
      <c r="E10" s="9" t="inlineStr">
        <is>
          <t>12:31</t>
        </is>
      </c>
      <c r="F10" s="9" t="inlineStr">
        <is>
          <t>13:02</t>
        </is>
      </c>
      <c r="G10" s="9" t="inlineStr">
        <is>
          <t>17:51</t>
        </is>
      </c>
      <c r="H10" s="10">
        <f>(G10-D10)-(F10-E10)</f>
        <v/>
      </c>
      <c r="I10" s="10" t="n">
        <v>0.3666666666666667</v>
      </c>
      <c r="J10" s="10">
        <f>IF(H10&gt;I10, H10-I10, 0)</f>
        <v/>
      </c>
      <c r="K10" s="10">
        <f>IF(H10&lt;I10, I10-H10, 0)</f>
        <v/>
      </c>
    </row>
    <row r="11">
      <c r="B11" s="5" t="inlineStr">
        <is>
          <t>07/mar</t>
        </is>
      </c>
      <c r="C11" s="5" t="inlineStr">
        <is>
          <t>Sábado</t>
        </is>
      </c>
      <c r="D11" s="5" t="inlineStr"/>
      <c r="E11" s="5" t="inlineStr"/>
      <c r="F11" s="5" t="inlineStr"/>
      <c r="G11" s="5" t="inlineStr"/>
      <c r="H11" s="6">
        <f>(G11-D11)-(F11-E11)</f>
        <v/>
      </c>
      <c r="I11" s="6" t="n">
        <v>0</v>
      </c>
      <c r="J11" s="6">
        <f>IF(H11&gt;I11, H11-I11, 0)</f>
        <v/>
      </c>
      <c r="K11" s="6">
        <f>IF(H11&lt;I11, I11-H11, 0)</f>
        <v/>
      </c>
    </row>
    <row r="12">
      <c r="B12" s="5" t="inlineStr">
        <is>
          <t>08/mar</t>
        </is>
      </c>
      <c r="C12" s="5" t="inlineStr">
        <is>
          <t>Domingo</t>
        </is>
      </c>
      <c r="D12" s="5" t="inlineStr"/>
      <c r="E12" s="5" t="inlineStr"/>
      <c r="F12" s="5" t="inlineStr"/>
      <c r="G12" s="5" t="inlineStr"/>
      <c r="H12" s="6">
        <f>(G12-D12)-(F12-E12)</f>
        <v/>
      </c>
      <c r="I12" s="6" t="n">
        <v>0</v>
      </c>
      <c r="J12" s="6">
        <f>IF(H12&gt;I12, H12-I12, 0)</f>
        <v/>
      </c>
      <c r="K12" s="6">
        <f>IF(H12&lt;I12, I12-H12, 0)</f>
        <v/>
      </c>
    </row>
    <row r="13">
      <c r="B13" s="7" t="inlineStr">
        <is>
          <t>TOTAL</t>
        </is>
      </c>
      <c r="C13" s="7" t="n"/>
      <c r="D13" s="7" t="n"/>
      <c r="E13" s="7" t="n"/>
      <c r="F13" s="7" t="n"/>
      <c r="G13" s="7" t="n"/>
      <c r="H13" s="8">
        <f>H6+H7+H8+H9+H10+H11+H12</f>
        <v/>
      </c>
      <c r="I13" s="7" t="n"/>
      <c r="J13" s="8">
        <f>J6+J7+J8+J9+J10+J11+J12</f>
        <v/>
      </c>
      <c r="K13" s="8">
        <f>K6+K7+K8+K9+K10+K11+K12</f>
        <v/>
      </c>
    </row>
    <row r="14">
      <c r="B14" s="9" t="inlineStr">
        <is>
          <t>09/mar</t>
        </is>
      </c>
      <c r="C14" s="9" t="inlineStr">
        <is>
          <t>Segunda-feira</t>
        </is>
      </c>
      <c r="D14" s="9" t="inlineStr">
        <is>
          <t>07:11</t>
        </is>
      </c>
      <c r="E14" s="9" t="inlineStr">
        <is>
          <t>12:23</t>
        </is>
      </c>
      <c r="F14" s="9" t="inlineStr">
        <is>
          <t>13:02</t>
        </is>
      </c>
      <c r="G14" s="9" t="inlineStr">
        <is>
          <t>17:54</t>
        </is>
      </c>
      <c r="H14" s="10">
        <f>(G14-D14)-(F14-E14)</f>
        <v/>
      </c>
      <c r="I14" s="10" t="n">
        <v>0.3666666666666667</v>
      </c>
      <c r="J14" s="10">
        <f>IF(H14&gt;I14, H14-I14, 0)</f>
        <v/>
      </c>
      <c r="K14" s="10">
        <f>IF(H14&lt;I14, I14-H14, 0)</f>
        <v/>
      </c>
    </row>
    <row r="15">
      <c r="B15" s="9" t="inlineStr">
        <is>
          <t>10/mar</t>
        </is>
      </c>
      <c r="C15" s="9" t="inlineStr">
        <is>
          <t>Terça-feira</t>
        </is>
      </c>
      <c r="D15" s="9" t="inlineStr">
        <is>
          <t>07:14</t>
        </is>
      </c>
      <c r="E15" s="9" t="inlineStr">
        <is>
          <t>12:20</t>
        </is>
      </c>
      <c r="F15" s="9" t="inlineStr">
        <is>
          <t>13:03</t>
        </is>
      </c>
      <c r="G15" s="9" t="inlineStr">
        <is>
          <t>17:54</t>
        </is>
      </c>
      <c r="H15" s="10">
        <f>(G15-D15)-(F15-E15)</f>
        <v/>
      </c>
      <c r="I15" s="10" t="n">
        <v>0.3666666666666667</v>
      </c>
      <c r="J15" s="10">
        <f>IF(H15&gt;I15, H15-I15, 0)</f>
        <v/>
      </c>
      <c r="K15" s="10">
        <f>IF(H15&lt;I15, I15-H15, 0)</f>
        <v/>
      </c>
    </row>
    <row r="16">
      <c r="B16" s="9" t="inlineStr">
        <is>
          <t>11/mar</t>
        </is>
      </c>
      <c r="C16" s="9" t="inlineStr">
        <is>
          <t>Quarta-feira</t>
        </is>
      </c>
      <c r="D16" s="9" t="inlineStr">
        <is>
          <t>07:18</t>
        </is>
      </c>
      <c r="E16" s="9" t="inlineStr">
        <is>
          <t>12:32</t>
        </is>
      </c>
      <c r="F16" s="9" t="inlineStr">
        <is>
          <t>13:07</t>
        </is>
      </c>
      <c r="G16" s="9" t="inlineStr">
        <is>
          <t>17:52</t>
        </is>
      </c>
      <c r="H16" s="10">
        <f>(G16-D16)-(F16-E16)</f>
        <v/>
      </c>
      <c r="I16" s="10" t="n">
        <v>0.3666666666666667</v>
      </c>
      <c r="J16" s="10">
        <f>IF(H16&gt;I16, H16-I16, 0)</f>
        <v/>
      </c>
      <c r="K16" s="10">
        <f>IF(H16&lt;I16, I16-H16, 0)</f>
        <v/>
      </c>
    </row>
    <row r="17">
      <c r="B17" s="9" t="inlineStr">
        <is>
          <t>12/mar</t>
        </is>
      </c>
      <c r="C17" s="9" t="inlineStr">
        <is>
          <t>Quinta-feira</t>
        </is>
      </c>
      <c r="D17" s="9" t="inlineStr">
        <is>
          <t>07:15</t>
        </is>
      </c>
      <c r="E17" s="9" t="inlineStr">
        <is>
          <t>12:21</t>
        </is>
      </c>
      <c r="F17" s="9" t="inlineStr">
        <is>
          <t>13:03</t>
        </is>
      </c>
      <c r="G17" s="9" t="inlineStr">
        <is>
          <t>17:54</t>
        </is>
      </c>
      <c r="H17" s="10">
        <f>(G17-D17)-(F17-E17)</f>
        <v/>
      </c>
      <c r="I17" s="10" t="n">
        <v>0.3666666666666667</v>
      </c>
      <c r="J17" s="10">
        <f>IF(H17&gt;I17, H17-I17, 0)</f>
        <v/>
      </c>
      <c r="K17" s="10">
        <f>IF(H17&lt;I17, I17-H17, 0)</f>
        <v/>
      </c>
    </row>
    <row r="18">
      <c r="B18" s="9" t="inlineStr">
        <is>
          <t>13/mar</t>
        </is>
      </c>
      <c r="C18" s="9" t="inlineStr">
        <is>
          <t>Sexta-feira</t>
        </is>
      </c>
      <c r="D18" s="9" t="inlineStr">
        <is>
          <t>07:02</t>
        </is>
      </c>
      <c r="E18" s="9" t="inlineStr">
        <is>
          <t>12:32</t>
        </is>
      </c>
      <c r="F18" s="9" t="inlineStr">
        <is>
          <t>13:06</t>
        </is>
      </c>
      <c r="G18" s="9" t="inlineStr">
        <is>
          <t>17:54</t>
        </is>
      </c>
      <c r="H18" s="10">
        <f>(G18-D18)-(F18-E18)</f>
        <v/>
      </c>
      <c r="I18" s="10" t="n">
        <v>0.3666666666666667</v>
      </c>
      <c r="J18" s="10">
        <f>IF(H18&gt;I18, H18-I18, 0)</f>
        <v/>
      </c>
      <c r="K18" s="10">
        <f>IF(H18&lt;I18, I18-H18, 0)</f>
        <v/>
      </c>
    </row>
    <row r="19">
      <c r="B19" s="5" t="inlineStr">
        <is>
          <t>14/mar</t>
        </is>
      </c>
      <c r="C19" s="5" t="inlineStr">
        <is>
          <t>Sábado</t>
        </is>
      </c>
      <c r="D19" s="5" t="inlineStr"/>
      <c r="E19" s="5" t="inlineStr"/>
      <c r="F19" s="5" t="inlineStr"/>
      <c r="G19" s="5" t="inlineStr"/>
      <c r="H19" s="6">
        <f>(G19-D19)-(F19-E19)</f>
        <v/>
      </c>
      <c r="I19" s="6" t="n">
        <v>0</v>
      </c>
      <c r="J19" s="6">
        <f>IF(H19&gt;I19, H19-I19, 0)</f>
        <v/>
      </c>
      <c r="K19" s="6">
        <f>IF(H19&lt;I19, I19-H19, 0)</f>
        <v/>
      </c>
    </row>
    <row r="20">
      <c r="B20" s="5" t="inlineStr">
        <is>
          <t>15/mar</t>
        </is>
      </c>
      <c r="C20" s="5" t="inlineStr">
        <is>
          <t>Domingo</t>
        </is>
      </c>
      <c r="D20" s="5" t="inlineStr"/>
      <c r="E20" s="5" t="inlineStr"/>
      <c r="F20" s="5" t="inlineStr"/>
      <c r="G20" s="5" t="inlineStr"/>
      <c r="H20" s="6">
        <f>(G20-D20)-(F20-E20)</f>
        <v/>
      </c>
      <c r="I20" s="6" t="n">
        <v>0</v>
      </c>
      <c r="J20" s="6">
        <f>IF(H20&gt;I20, H20-I20, 0)</f>
        <v/>
      </c>
      <c r="K20" s="6">
        <f>IF(H20&lt;I20, I20-H20, 0)</f>
        <v/>
      </c>
    </row>
    <row r="21">
      <c r="B21" s="7" t="inlineStr">
        <is>
          <t>TOTAL</t>
        </is>
      </c>
      <c r="C21" s="7" t="n"/>
      <c r="D21" s="7" t="n"/>
      <c r="E21" s="7" t="n"/>
      <c r="F21" s="7" t="n"/>
      <c r="G21" s="7" t="n"/>
      <c r="H21" s="8">
        <f>H14+H15+H16+H17+H18+H19+H20</f>
        <v/>
      </c>
      <c r="I21" s="7" t="n"/>
      <c r="J21" s="8">
        <f>J14+J15+J16+J17+J18+J19+J20</f>
        <v/>
      </c>
      <c r="K21" s="8">
        <f>K14+K15+K16+K17+K18+K19+K20</f>
        <v/>
      </c>
    </row>
    <row r="22">
      <c r="B22" s="9" t="inlineStr">
        <is>
          <t>16/mar</t>
        </is>
      </c>
      <c r="C22" s="9" t="inlineStr">
        <is>
          <t>Segunda-feira</t>
        </is>
      </c>
      <c r="D22" s="9" t="inlineStr"/>
      <c r="E22" s="9" t="inlineStr"/>
      <c r="F22" s="9" t="inlineStr"/>
      <c r="G22" s="9" t="inlineStr"/>
      <c r="H22" s="10">
        <f>(G22-D22)-(F22-E22)</f>
        <v/>
      </c>
      <c r="I22" s="10" t="n">
        <v>0.3666666666666667</v>
      </c>
      <c r="J22" s="10">
        <f>IF(H22&gt;I22, H22-I22, 0)</f>
        <v/>
      </c>
      <c r="K22" s="10">
        <f>IF(H22&lt;I22, I22-H22, 0)</f>
        <v/>
      </c>
    </row>
    <row r="23">
      <c r="B23" s="9" t="inlineStr">
        <is>
          <t>17/mar</t>
        </is>
      </c>
      <c r="C23" s="9" t="inlineStr">
        <is>
          <t>Terça-feira</t>
        </is>
      </c>
      <c r="D23" s="9" t="inlineStr"/>
      <c r="E23" s="9" t="inlineStr"/>
      <c r="F23" s="9" t="inlineStr"/>
      <c r="G23" s="9" t="inlineStr"/>
      <c r="H23" s="10">
        <f>(G23-D23)-(F23-E23)</f>
        <v/>
      </c>
      <c r="I23" s="10" t="n">
        <v>0.3666666666666667</v>
      </c>
      <c r="J23" s="10">
        <f>IF(H23&gt;I23, H23-I23, 0)</f>
        <v/>
      </c>
      <c r="K23" s="10">
        <f>IF(H23&lt;I23, I23-H23, 0)</f>
        <v/>
      </c>
    </row>
    <row r="24">
      <c r="B24" s="9" t="inlineStr">
        <is>
          <t>18/mar</t>
        </is>
      </c>
      <c r="C24" s="9" t="inlineStr">
        <is>
          <t>Quarta-feira</t>
        </is>
      </c>
      <c r="D24" s="9" t="inlineStr"/>
      <c r="E24" s="9" t="inlineStr"/>
      <c r="F24" s="9" t="inlineStr"/>
      <c r="G24" s="9" t="inlineStr"/>
      <c r="H24" s="10">
        <f>(G24-D24)-(F24-E24)</f>
        <v/>
      </c>
      <c r="I24" s="10" t="n">
        <v>0.3666666666666667</v>
      </c>
      <c r="J24" s="10">
        <f>IF(H24&gt;I24, H24-I24, 0)</f>
        <v/>
      </c>
      <c r="K24" s="10">
        <f>IF(H24&lt;I24, I24-H24, 0)</f>
        <v/>
      </c>
    </row>
    <row r="25">
      <c r="B25" s="9" t="inlineStr">
        <is>
          <t>19/mar</t>
        </is>
      </c>
      <c r="C25" s="9" t="inlineStr">
        <is>
          <t>Quinta-feira</t>
        </is>
      </c>
      <c r="D25" s="9" t="inlineStr"/>
      <c r="E25" s="9" t="inlineStr"/>
      <c r="F25" s="9" t="inlineStr"/>
      <c r="G25" s="9" t="inlineStr"/>
      <c r="H25" s="10">
        <f>(G25-D25)-(F25-E25)</f>
        <v/>
      </c>
      <c r="I25" s="10" t="n">
        <v>0.3666666666666667</v>
      </c>
      <c r="J25" s="10">
        <f>IF(H25&gt;I25, H25-I25, 0)</f>
        <v/>
      </c>
      <c r="K25" s="10">
        <f>IF(H25&lt;I25, I25-H25, 0)</f>
        <v/>
      </c>
    </row>
    <row r="26">
      <c r="B26" s="9" t="inlineStr">
        <is>
          <t>20/mar</t>
        </is>
      </c>
      <c r="C26" s="9" t="inlineStr">
        <is>
          <t>Sexta-feira</t>
        </is>
      </c>
      <c r="D26" s="9" t="inlineStr"/>
      <c r="E26" s="9" t="inlineStr"/>
      <c r="F26" s="9" t="inlineStr"/>
      <c r="G26" s="9" t="inlineStr"/>
      <c r="H26" s="10">
        <f>(G26-D26)-(F26-E26)</f>
        <v/>
      </c>
      <c r="I26" s="10" t="n">
        <v>0.3666666666666667</v>
      </c>
      <c r="J26" s="10">
        <f>IF(H26&gt;I26, H26-I26, 0)</f>
        <v/>
      </c>
      <c r="K26" s="10">
        <f>IF(H26&lt;I26, I26-H26, 0)</f>
        <v/>
      </c>
    </row>
    <row r="27">
      <c r="B27" s="5" t="inlineStr">
        <is>
          <t>21/mar</t>
        </is>
      </c>
      <c r="C27" s="5" t="inlineStr">
        <is>
          <t>Sábado</t>
        </is>
      </c>
      <c r="D27" s="5" t="inlineStr"/>
      <c r="E27" s="5" t="inlineStr"/>
      <c r="F27" s="5" t="inlineStr"/>
      <c r="G27" s="5" t="inlineStr"/>
      <c r="H27" s="6">
        <f>(G27-D27)-(F27-E27)</f>
        <v/>
      </c>
      <c r="I27" s="6" t="n">
        <v>0</v>
      </c>
      <c r="J27" s="6">
        <f>IF(H27&gt;I27, H27-I27, 0)</f>
        <v/>
      </c>
      <c r="K27" s="6">
        <f>IF(H27&lt;I27, I27-H27, 0)</f>
        <v/>
      </c>
    </row>
    <row r="28">
      <c r="B28" s="5" t="inlineStr">
        <is>
          <t>22/mar</t>
        </is>
      </c>
      <c r="C28" s="5" t="inlineStr">
        <is>
          <t>Domingo</t>
        </is>
      </c>
      <c r="D28" s="5" t="inlineStr"/>
      <c r="E28" s="5" t="inlineStr"/>
      <c r="F28" s="5" t="inlineStr"/>
      <c r="G28" s="5" t="inlineStr"/>
      <c r="H28" s="6">
        <f>(G28-D28)-(F28-E28)</f>
        <v/>
      </c>
      <c r="I28" s="6" t="n">
        <v>0</v>
      </c>
      <c r="J28" s="6">
        <f>IF(H28&gt;I28, H28-I28, 0)</f>
        <v/>
      </c>
      <c r="K28" s="6">
        <f>IF(H28&lt;I28, I28-H28, 0)</f>
        <v/>
      </c>
    </row>
    <row r="29">
      <c r="B29" s="7" t="inlineStr">
        <is>
          <t>TOTAL</t>
        </is>
      </c>
      <c r="C29" s="7" t="n"/>
      <c r="D29" s="7" t="n"/>
      <c r="E29" s="7" t="n"/>
      <c r="F29" s="7" t="n"/>
      <c r="G29" s="7" t="n"/>
      <c r="H29" s="8">
        <f>H22+H23+H24+H25+H26+H27+H28</f>
        <v/>
      </c>
      <c r="I29" s="7" t="n"/>
      <c r="J29" s="8">
        <f>J22+J23+J24+J25+J26+J27+J28</f>
        <v/>
      </c>
      <c r="K29" s="8">
        <f>K22+K23+K24+K25+K26+K27+K28</f>
        <v/>
      </c>
    </row>
    <row r="30">
      <c r="B30" s="9" t="inlineStr">
        <is>
          <t>23/mar</t>
        </is>
      </c>
      <c r="C30" s="9" t="inlineStr">
        <is>
          <t>Segunda-feira</t>
        </is>
      </c>
      <c r="D30" s="9" t="inlineStr"/>
      <c r="E30" s="9" t="inlineStr"/>
      <c r="F30" s="9" t="inlineStr"/>
      <c r="G30" s="9" t="inlineStr"/>
      <c r="H30" s="10">
        <f>(G30-D30)-(F30-E30)</f>
        <v/>
      </c>
      <c r="I30" s="10" t="n">
        <v>0.3666666666666667</v>
      </c>
      <c r="J30" s="10">
        <f>IF(H30&gt;I30, H30-I30, 0)</f>
        <v/>
      </c>
      <c r="K30" s="10">
        <f>IF(H30&lt;I30, I30-H30, 0)</f>
        <v/>
      </c>
    </row>
    <row r="31">
      <c r="B31" s="9" t="inlineStr">
        <is>
          <t>24/mar</t>
        </is>
      </c>
      <c r="C31" s="9" t="inlineStr">
        <is>
          <t>Terça-feira</t>
        </is>
      </c>
      <c r="D31" s="9" t="inlineStr"/>
      <c r="E31" s="9" t="inlineStr"/>
      <c r="F31" s="9" t="inlineStr"/>
      <c r="G31" s="9" t="inlineStr"/>
      <c r="H31" s="10">
        <f>(G31-D31)-(F31-E31)</f>
        <v/>
      </c>
      <c r="I31" s="10" t="n">
        <v>0.3666666666666667</v>
      </c>
      <c r="J31" s="10">
        <f>IF(H31&gt;I31, H31-I31, 0)</f>
        <v/>
      </c>
      <c r="K31" s="10">
        <f>IF(H31&lt;I31, I31-H31, 0)</f>
        <v/>
      </c>
    </row>
    <row r="32">
      <c r="B32" s="9" t="inlineStr">
        <is>
          <t>25/mar</t>
        </is>
      </c>
      <c r="C32" s="9" t="inlineStr">
        <is>
          <t>Quarta-feira</t>
        </is>
      </c>
      <c r="D32" s="9" t="inlineStr"/>
      <c r="E32" s="9" t="inlineStr"/>
      <c r="F32" s="9" t="inlineStr"/>
      <c r="G32" s="9" t="inlineStr"/>
      <c r="H32" s="10">
        <f>(G32-D32)-(F32-E32)</f>
        <v/>
      </c>
      <c r="I32" s="10" t="n">
        <v>0.3666666666666667</v>
      </c>
      <c r="J32" s="10">
        <f>IF(H32&gt;I32, H32-I32, 0)</f>
        <v/>
      </c>
      <c r="K32" s="10">
        <f>IF(H32&lt;I32, I32-H32, 0)</f>
        <v/>
      </c>
    </row>
    <row r="33">
      <c r="B33" s="9" t="inlineStr">
        <is>
          <t>26/mar</t>
        </is>
      </c>
      <c r="C33" s="9" t="inlineStr">
        <is>
          <t>Quinta-feira</t>
        </is>
      </c>
      <c r="D33" s="9" t="inlineStr"/>
      <c r="E33" s="9" t="inlineStr"/>
      <c r="F33" s="9" t="inlineStr"/>
      <c r="G33" s="9" t="inlineStr"/>
      <c r="H33" s="10">
        <f>(G33-D33)-(F33-E33)</f>
        <v/>
      </c>
      <c r="I33" s="10" t="n">
        <v>0.3666666666666667</v>
      </c>
      <c r="J33" s="10">
        <f>IF(H33&gt;I33, H33-I33, 0)</f>
        <v/>
      </c>
      <c r="K33" s="10">
        <f>IF(H33&lt;I33, I33-H33, 0)</f>
        <v/>
      </c>
    </row>
    <row r="34">
      <c r="B34" s="9" t="inlineStr">
        <is>
          <t>27/mar</t>
        </is>
      </c>
      <c r="C34" s="9" t="inlineStr">
        <is>
          <t>Sexta-feira</t>
        </is>
      </c>
      <c r="D34" s="9" t="inlineStr"/>
      <c r="E34" s="9" t="inlineStr"/>
      <c r="F34" s="9" t="inlineStr"/>
      <c r="G34" s="9" t="inlineStr"/>
      <c r="H34" s="10">
        <f>(G34-D34)-(F34-E34)</f>
        <v/>
      </c>
      <c r="I34" s="10" t="n">
        <v>0.3666666666666667</v>
      </c>
      <c r="J34" s="10">
        <f>IF(H34&gt;I34, H34-I34, 0)</f>
        <v/>
      </c>
      <c r="K34" s="10">
        <f>IF(H34&lt;I34, I34-H34, 0)</f>
        <v/>
      </c>
    </row>
    <row r="35">
      <c r="B35" s="5" t="inlineStr">
        <is>
          <t>28/mar</t>
        </is>
      </c>
      <c r="C35" s="5" t="inlineStr">
        <is>
          <t>Sábado</t>
        </is>
      </c>
      <c r="D35" s="5" t="inlineStr"/>
      <c r="E35" s="5" t="inlineStr"/>
      <c r="F35" s="5" t="inlineStr"/>
      <c r="G35" s="5" t="inlineStr"/>
      <c r="H35" s="6">
        <f>(G35-D35)-(F35-E35)</f>
        <v/>
      </c>
      <c r="I35" s="6" t="n">
        <v>0</v>
      </c>
      <c r="J35" s="6">
        <f>IF(H35&gt;I35, H35-I35, 0)</f>
        <v/>
      </c>
      <c r="K35" s="6">
        <f>IF(H35&lt;I35, I35-H35, 0)</f>
        <v/>
      </c>
    </row>
    <row r="36">
      <c r="B36" s="5" t="inlineStr">
        <is>
          <t>29/mar</t>
        </is>
      </c>
      <c r="C36" s="5" t="inlineStr">
        <is>
          <t>Domingo</t>
        </is>
      </c>
      <c r="D36" s="5" t="inlineStr"/>
      <c r="E36" s="5" t="inlineStr"/>
      <c r="F36" s="5" t="inlineStr"/>
      <c r="G36" s="5" t="inlineStr"/>
      <c r="H36" s="6">
        <f>(G36-D36)-(F36-E36)</f>
        <v/>
      </c>
      <c r="I36" s="6" t="n">
        <v>0</v>
      </c>
      <c r="J36" s="6">
        <f>IF(H36&gt;I36, H36-I36, 0)</f>
        <v/>
      </c>
      <c r="K36" s="6">
        <f>IF(H36&lt;I36, I36-H36, 0)</f>
        <v/>
      </c>
    </row>
    <row r="37">
      <c r="B37" s="7" t="inlineStr">
        <is>
          <t>TOTAL</t>
        </is>
      </c>
      <c r="C37" s="7" t="n"/>
      <c r="D37" s="7" t="n"/>
      <c r="E37" s="7" t="n"/>
      <c r="F37" s="7" t="n"/>
      <c r="G37" s="7" t="n"/>
      <c r="H37" s="8">
        <f>H30+H31+H32+H33+H34+H35+H36</f>
        <v/>
      </c>
      <c r="I37" s="7" t="n"/>
      <c r="J37" s="8">
        <f>J30+J31+J32+J33+J34+J35+J36</f>
        <v/>
      </c>
      <c r="K37" s="8">
        <f>K30+K31+K32+K33+K34+K35+K36</f>
        <v/>
      </c>
    </row>
    <row r="38">
      <c r="B38" s="9" t="inlineStr">
        <is>
          <t>30/mar</t>
        </is>
      </c>
      <c r="C38" s="9" t="inlineStr">
        <is>
          <t>Segunda-feira</t>
        </is>
      </c>
      <c r="D38" s="9" t="inlineStr"/>
      <c r="E38" s="9" t="inlineStr"/>
      <c r="F38" s="9" t="inlineStr"/>
      <c r="G38" s="9" t="inlineStr"/>
      <c r="H38" s="10">
        <f>(G38-D38)-(F38-E38)</f>
        <v/>
      </c>
      <c r="I38" s="10" t="n">
        <v>0.3666666666666667</v>
      </c>
      <c r="J38" s="10">
        <f>IF(H38&gt;I38, H38-I38, 0)</f>
        <v/>
      </c>
      <c r="K38" s="10">
        <f>IF(H38&lt;I38, I38-H38, 0)</f>
        <v/>
      </c>
    </row>
    <row r="39">
      <c r="B39" s="9" t="inlineStr">
        <is>
          <t>31/mar</t>
        </is>
      </c>
      <c r="C39" s="9" t="inlineStr">
        <is>
          <t>Terça-feira</t>
        </is>
      </c>
      <c r="D39" s="9" t="inlineStr"/>
      <c r="E39" s="9" t="inlineStr"/>
      <c r="F39" s="9" t="inlineStr"/>
      <c r="G39" s="9" t="inlineStr"/>
      <c r="H39" s="10">
        <f>(G39-D39)-(F39-E39)</f>
        <v/>
      </c>
      <c r="I39" s="10" t="n">
        <v>0.3666666666666667</v>
      </c>
      <c r="J39" s="10">
        <f>IF(H39&gt;I39, H39-I39, 0)</f>
        <v/>
      </c>
      <c r="K39" s="10">
        <f>IF(H39&lt;I39, I39-H39, 0)</f>
        <v/>
      </c>
    </row>
    <row r="40">
      <c r="B40" s="11" t="inlineStr">
        <is>
          <t>TOTAL MENSAL</t>
        </is>
      </c>
      <c r="C40" s="11" t="n"/>
      <c r="D40" s="11" t="n"/>
      <c r="E40" s="11" t="n"/>
      <c r="F40" s="11" t="n"/>
      <c r="G40" s="11" t="n"/>
      <c r="H40" s="12">
        <f>H38+H39</f>
        <v/>
      </c>
      <c r="I40" s="11" t="n"/>
      <c r="J40" s="12">
        <f>J38+J39</f>
        <v/>
      </c>
      <c r="K40" s="12">
        <f>H5+H13+H21+H29+H37+H40</f>
        <v/>
      </c>
    </row>
    <row r="41">
      <c r="B41" s="11" t="inlineStr">
        <is>
          <t>TOTAL POSITIVAS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2">
        <f>J5+J13+J21+J29+J37+J40</f>
        <v/>
      </c>
    </row>
    <row r="42">
      <c r="B42" s="11" t="inlineStr">
        <is>
          <t>TOTAL NEGATIVAS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2">
        <f>K5+K13+K21+K29+K37+K40</f>
        <v/>
      </c>
    </row>
    <row r="44">
      <c r="B44" s="4" t="inlineStr">
        <is>
          <t>Extrato hora</t>
        </is>
      </c>
      <c r="C44" s="4" t="inlineStr">
        <is>
          <t>Horas Positivas - B.H</t>
        </is>
      </c>
      <c r="D44" s="4" t="inlineStr">
        <is>
          <t>Horas Negativas</t>
        </is>
      </c>
      <c r="E44" s="4" t="inlineStr">
        <is>
          <t>PG em Folha</t>
        </is>
      </c>
      <c r="F44" s="4" t="inlineStr">
        <is>
          <t>Saldo</t>
        </is>
      </c>
    </row>
    <row r="45">
      <c r="B45" s="9" t="inlineStr">
        <is>
          <t>jan-26</t>
        </is>
      </c>
      <c r="C45" s="14" t="n">
        <v>0</v>
      </c>
      <c r="D45" s="14" t="n">
        <v>0</v>
      </c>
      <c r="E45" s="14" t="n">
        <v>0</v>
      </c>
      <c r="F45" s="14">
        <f>C45-D45-E45</f>
        <v/>
      </c>
    </row>
    <row r="46">
      <c r="B46" s="9" t="inlineStr">
        <is>
          <t>fev-26</t>
        </is>
      </c>
      <c r="C46" s="14" t="n">
        <v>0</v>
      </c>
      <c r="D46" s="14" t="n">
        <v>0</v>
      </c>
      <c r="E46" s="14" t="n">
        <v>0</v>
      </c>
      <c r="F46" s="14">
        <f>C46-D46-E46</f>
        <v/>
      </c>
    </row>
    <row r="47">
      <c r="B47" s="9" t="inlineStr">
        <is>
          <t>mar-26</t>
        </is>
      </c>
      <c r="C47" s="14" t="n">
        <v>0</v>
      </c>
      <c r="D47" s="14" t="n">
        <v>0</v>
      </c>
      <c r="E47" s="14" t="n">
        <v>0</v>
      </c>
      <c r="F47" s="14">
        <f>C47-D47-E47</f>
        <v/>
      </c>
    </row>
    <row r="48">
      <c r="B48" s="9" t="inlineStr">
        <is>
          <t>abr-26</t>
        </is>
      </c>
      <c r="C48" s="14" t="n">
        <v>0</v>
      </c>
      <c r="D48" s="14" t="n">
        <v>0</v>
      </c>
      <c r="E48" s="14" t="n">
        <v>0</v>
      </c>
      <c r="F48" s="14">
        <f>C48-D48-E48</f>
        <v/>
      </c>
      <c r="H48" s="15" t="inlineStr">
        <is>
          <t>______________________________________</t>
        </is>
      </c>
    </row>
    <row r="49">
      <c r="B49" s="9" t="inlineStr">
        <is>
          <t>mai-26</t>
        </is>
      </c>
      <c r="C49" s="14" t="n">
        <v>0</v>
      </c>
      <c r="D49" s="14" t="n">
        <v>0</v>
      </c>
      <c r="E49" s="14" t="n">
        <v>0</v>
      </c>
      <c r="F49" s="14">
        <f>C49-D49-E49</f>
        <v/>
      </c>
      <c r="H49" s="15" t="inlineStr">
        <is>
          <t>VIVIANE</t>
        </is>
      </c>
    </row>
    <row r="50">
      <c r="B50" s="9" t="inlineStr">
        <is>
          <t>jun-26</t>
        </is>
      </c>
      <c r="C50" s="14" t="n">
        <v>0</v>
      </c>
      <c r="D50" s="14" t="n">
        <v>0</v>
      </c>
      <c r="E50" s="14" t="n">
        <v>0</v>
      </c>
      <c r="F50" s="14">
        <f>C50-D50-E50</f>
        <v/>
      </c>
      <c r="H50" s="15" t="inlineStr">
        <is>
          <t>CPF: 326.858.838-78</t>
        </is>
      </c>
    </row>
    <row r="51">
      <c r="B51" s="9" t="inlineStr">
        <is>
          <t>jul-26</t>
        </is>
      </c>
      <c r="C51" s="14" t="n">
        <v>0</v>
      </c>
      <c r="D51" s="14" t="n">
        <v>0</v>
      </c>
      <c r="E51" s="14" t="n">
        <v>0</v>
      </c>
      <c r="F51" s="14">
        <f>C51-D51-E51</f>
        <v/>
      </c>
    </row>
    <row r="52">
      <c r="B52" s="9" t="inlineStr">
        <is>
          <t>ago-26</t>
        </is>
      </c>
      <c r="C52" s="14" t="n">
        <v>0</v>
      </c>
      <c r="D52" s="14" t="n">
        <v>0</v>
      </c>
      <c r="E52" s="14" t="n">
        <v>0</v>
      </c>
      <c r="F52" s="14">
        <f>C52-D52-E52</f>
        <v/>
      </c>
      <c r="H52" s="15" t="inlineStr">
        <is>
          <t>COLEGIO ELLEVE LTDA</t>
        </is>
      </c>
    </row>
    <row r="53">
      <c r="B53" s="9" t="inlineStr">
        <is>
          <t>set-26</t>
        </is>
      </c>
      <c r="C53" s="14" t="n">
        <v>0</v>
      </c>
      <c r="D53" s="14" t="n">
        <v>0</v>
      </c>
      <c r="E53" s="14" t="n">
        <v>0</v>
      </c>
      <c r="F53" s="14">
        <f>C53-D53-E53</f>
        <v/>
      </c>
      <c r="H53" s="15" t="inlineStr">
        <is>
          <t>CNPJ: 47.136.937/0001-52</t>
        </is>
      </c>
    </row>
    <row r="54">
      <c r="B54" s="9" t="inlineStr">
        <is>
          <t>out-26</t>
        </is>
      </c>
      <c r="C54" s="14" t="n">
        <v>0</v>
      </c>
      <c r="D54" s="14" t="n">
        <v>0</v>
      </c>
      <c r="E54" s="14" t="n">
        <v>0</v>
      </c>
      <c r="F54" s="14">
        <f>C54-D54-E54</f>
        <v/>
      </c>
    </row>
    <row r="55">
      <c r="B55" s="9" t="inlineStr">
        <is>
          <t>nov-26</t>
        </is>
      </c>
      <c r="C55" s="14" t="n">
        <v>0</v>
      </c>
      <c r="D55" s="14" t="n">
        <v>0</v>
      </c>
      <c r="E55" s="14" t="n">
        <v>0</v>
      </c>
      <c r="F55" s="14">
        <f>C55-D55-E55</f>
        <v/>
      </c>
    </row>
    <row r="56">
      <c r="B56" s="9" t="inlineStr">
        <is>
          <t>dez-26</t>
        </is>
      </c>
      <c r="C56" s="14" t="n">
        <v>0</v>
      </c>
      <c r="D56" s="14" t="n">
        <v>0</v>
      </c>
      <c r="E56" s="14" t="n">
        <v>0</v>
      </c>
      <c r="F56" s="14">
        <f>C56-D56-E56</f>
        <v/>
      </c>
    </row>
    <row r="57">
      <c r="B57" s="11" t="inlineStr">
        <is>
          <t>SALDO FINAL</t>
        </is>
      </c>
      <c r="C57" s="13" t="n"/>
      <c r="D57" s="13" t="n"/>
      <c r="E57" s="13" t="n"/>
      <c r="F57" s="16">
        <f>F45+F46+F47+F48+F49+F50+F51+F52+F53+F54+F55+F56</f>
        <v/>
      </c>
    </row>
  </sheetData>
  <mergeCells count="7">
    <mergeCell ref="H50:K50"/>
    <mergeCell ref="B1:K1"/>
    <mergeCell ref="H52:K52"/>
    <mergeCell ref="H53:K53"/>
    <mergeCell ref="H48:K48"/>
    <mergeCell ref="B2:K2"/>
    <mergeCell ref="H49:K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2026-03-18T22:35:20Z</dcterms:created>
  <dcterms:modified xsi:type="dcterms:W3CDTF">2026-03-18T22:35:25Z</dcterms:modified>
</cp:coreProperties>
</file>